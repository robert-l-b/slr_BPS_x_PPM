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slr_BPS_x_PPM\Screening Forms\"/>
    </mc:Choice>
  </mc:AlternateContent>
  <xr:revisionPtr revIDLastSave="0" documentId="13_ncr:1_{A27B2568-1E74-46B4-A6AF-847262E4475C}" xr6:coauthVersionLast="47" xr6:coauthVersionMax="47" xr10:uidLastSave="{00000000-0000-0000-0000-000000000000}"/>
  <bookViews>
    <workbookView xWindow="-110" yWindow="-110" windowWidth="19420" windowHeight="10300" xr2:uid="{00000000-000D-0000-FFFF-FFFF00000000}"/>
  </bookViews>
  <sheets>
    <sheet name="Review" sheetId="2" r:id="rId1"/>
  </sheets>
  <definedNames>
    <definedName name="_xlnm._FilterDatabase" localSheetId="0" hidden="1">Review!$A$2:$X$258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3" i="2" l="1"/>
  <c r="J242" i="2"/>
  <c r="O241" i="2"/>
  <c r="J241" i="2"/>
  <c r="J240" i="2"/>
  <c r="O239" i="2"/>
  <c r="J239" i="2"/>
  <c r="J238" i="2"/>
  <c r="J237" i="2"/>
  <c r="O236" i="2"/>
  <c r="J236" i="2"/>
  <c r="J235" i="2"/>
  <c r="J234" i="2"/>
  <c r="J233" i="2"/>
  <c r="O232" i="2"/>
  <c r="J232" i="2"/>
  <c r="J231" i="2"/>
  <c r="J230" i="2"/>
  <c r="J229" i="2"/>
  <c r="J228" i="2"/>
  <c r="J227" i="2"/>
  <c r="J226" i="2"/>
  <c r="J225" i="2"/>
  <c r="O224" i="2"/>
  <c r="J224" i="2"/>
  <c r="J223" i="2"/>
  <c r="O222" i="2"/>
  <c r="J222" i="2"/>
  <c r="J221" i="2"/>
  <c r="J220" i="2"/>
  <c r="J219" i="2"/>
  <c r="J218" i="2"/>
  <c r="J217" i="2"/>
  <c r="O216" i="2"/>
  <c r="J216" i="2"/>
  <c r="O215" i="2"/>
  <c r="J215" i="2"/>
  <c r="J214" i="2"/>
  <c r="J213" i="2"/>
  <c r="O212" i="2"/>
  <c r="J212" i="2"/>
  <c r="J211" i="2"/>
  <c r="J210" i="2"/>
  <c r="J209" i="2"/>
  <c r="J208" i="2"/>
  <c r="J207" i="2"/>
  <c r="J206" i="2"/>
  <c r="J205" i="2"/>
  <c r="J204" i="2"/>
  <c r="J203" i="2"/>
  <c r="O202" i="2"/>
  <c r="J202" i="2"/>
  <c r="J201" i="2"/>
  <c r="J200" i="2"/>
  <c r="J199" i="2"/>
  <c r="J198" i="2"/>
  <c r="O197" i="2"/>
  <c r="J197" i="2"/>
  <c r="J196" i="2"/>
  <c r="J195" i="2"/>
  <c r="J194" i="2"/>
  <c r="O193" i="2"/>
  <c r="J193" i="2"/>
  <c r="J192" i="2"/>
  <c r="J191" i="2"/>
  <c r="J190" i="2"/>
  <c r="J189" i="2"/>
  <c r="J188" i="2"/>
  <c r="O187" i="2"/>
  <c r="J187" i="2"/>
  <c r="J186" i="2"/>
  <c r="J185" i="2"/>
  <c r="J184" i="2"/>
  <c r="J183" i="2"/>
  <c r="J182" i="2"/>
  <c r="J181" i="2"/>
  <c r="O180" i="2"/>
  <c r="J180" i="2"/>
  <c r="O179" i="2"/>
  <c r="J179" i="2"/>
  <c r="J178" i="2"/>
  <c r="O177" i="2"/>
  <c r="J177" i="2"/>
  <c r="J176" i="2"/>
  <c r="J175" i="2"/>
  <c r="J174" i="2"/>
  <c r="O173" i="2"/>
  <c r="J173" i="2"/>
  <c r="J172" i="2"/>
  <c r="O171" i="2"/>
  <c r="J171" i="2"/>
  <c r="J170" i="2"/>
  <c r="J169" i="2"/>
  <c r="J168" i="2"/>
  <c r="J167" i="2"/>
  <c r="O166" i="2"/>
  <c r="J166" i="2"/>
  <c r="O165" i="2"/>
  <c r="J165" i="2"/>
  <c r="O164" i="2"/>
  <c r="J164" i="2"/>
  <c r="J163" i="2"/>
  <c r="J162" i="2"/>
  <c r="J161" i="2"/>
  <c r="J160" i="2"/>
  <c r="J159" i="2"/>
  <c r="J158" i="2"/>
  <c r="J157" i="2"/>
  <c r="J156" i="2"/>
  <c r="J155" i="2"/>
  <c r="J154" i="2"/>
  <c r="J153" i="2"/>
  <c r="J152" i="2"/>
  <c r="J151" i="2"/>
  <c r="J150" i="2"/>
  <c r="J149" i="2"/>
  <c r="J148" i="2"/>
  <c r="J147" i="2"/>
  <c r="J146" i="2"/>
  <c r="J145" i="2"/>
  <c r="J144" i="2"/>
  <c r="J143" i="2"/>
  <c r="J142" i="2"/>
  <c r="J141" i="2"/>
  <c r="O140" i="2"/>
  <c r="J140" i="2"/>
  <c r="J139" i="2"/>
  <c r="J138" i="2"/>
  <c r="J137" i="2"/>
  <c r="J136" i="2"/>
  <c r="J135" i="2"/>
  <c r="J134" i="2"/>
  <c r="J133" i="2"/>
  <c r="J132" i="2"/>
  <c r="J131" i="2"/>
  <c r="J130" i="2"/>
  <c r="J129" i="2"/>
  <c r="J128" i="2"/>
  <c r="J127" i="2"/>
  <c r="J126" i="2"/>
  <c r="J125" i="2"/>
  <c r="O124" i="2"/>
  <c r="J124" i="2"/>
  <c r="J123" i="2"/>
  <c r="J122" i="2"/>
  <c r="J121" i="2"/>
  <c r="J120" i="2"/>
  <c r="J119" i="2"/>
  <c r="J118" i="2"/>
  <c r="J117" i="2"/>
  <c r="J116" i="2"/>
  <c r="J115" i="2"/>
  <c r="J114" i="2"/>
  <c r="J113" i="2"/>
  <c r="J112" i="2"/>
  <c r="O111" i="2"/>
  <c r="J111" i="2"/>
  <c r="O110" i="2"/>
  <c r="J110" i="2"/>
  <c r="J109" i="2"/>
  <c r="J108" i="2"/>
  <c r="J107" i="2"/>
  <c r="J106" i="2"/>
  <c r="J105" i="2"/>
  <c r="J104" i="2"/>
  <c r="J103" i="2"/>
  <c r="J102" i="2"/>
  <c r="J101" i="2"/>
  <c r="J100" i="2"/>
  <c r="J99" i="2"/>
  <c r="J98" i="2"/>
  <c r="J97" i="2"/>
  <c r="J96" i="2"/>
  <c r="O95" i="2"/>
  <c r="J95" i="2"/>
  <c r="J94" i="2"/>
  <c r="J93" i="2"/>
  <c r="J92" i="2"/>
  <c r="J91" i="2"/>
  <c r="J90" i="2"/>
  <c r="J89" i="2"/>
  <c r="O88" i="2"/>
  <c r="J88" i="2"/>
  <c r="J87" i="2"/>
  <c r="J86" i="2"/>
  <c r="J85" i="2"/>
  <c r="J84" i="2"/>
  <c r="J83" i="2"/>
  <c r="O82" i="2"/>
  <c r="J82" i="2"/>
  <c r="J81" i="2"/>
  <c r="J80" i="2"/>
  <c r="J79" i="2"/>
  <c r="J78" i="2"/>
  <c r="J77" i="2"/>
  <c r="J76" i="2"/>
  <c r="J75" i="2"/>
  <c r="J74" i="2"/>
  <c r="J73" i="2"/>
  <c r="J72" i="2"/>
  <c r="J71" i="2"/>
  <c r="J70" i="2"/>
  <c r="O69" i="2"/>
  <c r="J69" i="2"/>
  <c r="O68" i="2"/>
  <c r="J68" i="2"/>
  <c r="J67" i="2"/>
  <c r="J66" i="2"/>
  <c r="O65" i="2"/>
  <c r="J65" i="2"/>
  <c r="J64" i="2"/>
  <c r="O63" i="2"/>
  <c r="J63" i="2"/>
  <c r="J62" i="2"/>
  <c r="J61" i="2"/>
  <c r="O60" i="2"/>
  <c r="J60" i="2"/>
  <c r="J59" i="2"/>
  <c r="J58" i="2"/>
  <c r="J57" i="2"/>
  <c r="J56" i="2"/>
  <c r="J55" i="2"/>
  <c r="J54" i="2"/>
  <c r="J53" i="2"/>
  <c r="O52" i="2"/>
  <c r="J52" i="2"/>
  <c r="J51" i="2"/>
  <c r="J50" i="2"/>
  <c r="J49" i="2"/>
  <c r="J48" i="2"/>
  <c r="J47" i="2"/>
  <c r="O46" i="2"/>
  <c r="J46" i="2"/>
  <c r="J45" i="2"/>
  <c r="J44" i="2"/>
  <c r="J43" i="2"/>
  <c r="J42" i="2"/>
  <c r="J41" i="2"/>
  <c r="J40" i="2"/>
  <c r="J39" i="2"/>
  <c r="O38" i="2"/>
  <c r="J38" i="2"/>
  <c r="J37" i="2"/>
  <c r="J36" i="2"/>
  <c r="J35" i="2"/>
  <c r="J34" i="2"/>
  <c r="O33" i="2"/>
  <c r="J33" i="2"/>
  <c r="O32" i="2"/>
  <c r="J32" i="2"/>
  <c r="J31" i="2"/>
  <c r="O30" i="2"/>
  <c r="J30" i="2"/>
  <c r="O29" i="2"/>
  <c r="J29" i="2"/>
  <c r="J28" i="2"/>
  <c r="J27" i="2"/>
  <c r="O26" i="2"/>
  <c r="J26" i="2"/>
  <c r="J25" i="2"/>
  <c r="J24" i="2"/>
  <c r="J23" i="2"/>
  <c r="O22" i="2"/>
  <c r="J22" i="2"/>
  <c r="O21" i="2"/>
  <c r="J21" i="2"/>
  <c r="J20" i="2"/>
  <c r="J19" i="2"/>
  <c r="O18" i="2"/>
  <c r="J18" i="2"/>
  <c r="J17" i="2"/>
  <c r="J16" i="2"/>
  <c r="O15" i="2"/>
  <c r="J15" i="2"/>
  <c r="J14" i="2"/>
  <c r="J13" i="2"/>
  <c r="J12" i="2"/>
  <c r="O11" i="2"/>
  <c r="J11" i="2"/>
  <c r="O10" i="2"/>
  <c r="J10" i="2"/>
  <c r="J9" i="2"/>
  <c r="O8" i="2"/>
  <c r="J8" i="2"/>
  <c r="J7" i="2"/>
  <c r="J6" i="2"/>
  <c r="O5" i="2"/>
  <c r="J5" i="2"/>
  <c r="O4" i="2"/>
  <c r="J4" i="2"/>
  <c r="J3" i="2"/>
</calcChain>
</file>

<file path=xl/sharedStrings.xml><?xml version="1.0" encoding="utf-8"?>
<sst xmlns="http://schemas.openxmlformats.org/spreadsheetml/2006/main" count="1944" uniqueCount="847">
  <si>
    <t>Title</t>
  </si>
  <si>
    <t>Link</t>
  </si>
  <si>
    <t>BPM Forum</t>
  </si>
  <si>
    <t>Process Forecasting: Towards Proactive Business Process Management</t>
  </si>
  <si>
    <t>Information Systems</t>
  </si>
  <si>
    <t>https://www.sciencedirect.com/science/article/pii/S0306437923000844</t>
  </si>
  <si>
    <t>Online Discovery of Simulation Models for Evolving Business Processes</t>
  </si>
  <si>
    <t xml:space="preserve">Francesco Vinci, Gyunam Park, Wil M. P. van der Aalst &amp; Massimiliano de Leoni </t>
  </si>
  <si>
    <t>https://link.springer.com/chapter/10.1007/978-3-032-02867-9_27</t>
  </si>
  <si>
    <t>From process mining to augmented process execution</t>
  </si>
  <si>
    <t>Software and Systems Modeling</t>
  </si>
  <si>
    <t>ICPM</t>
  </si>
  <si>
    <t>https://ieeexplore.ieee.org/abstract/document/10271993</t>
  </si>
  <si>
    <t>Predictive process monitoring: concepts, challenges, and future research directions</t>
  </si>
  <si>
    <t>Process Science</t>
  </si>
  <si>
    <t>Prescriptive Business Process Monitoring for Recommending Next Best Actions</t>
  </si>
  <si>
    <t>Discovering multi-agent systems for resource-centric business process simulation</t>
  </si>
  <si>
    <t>https://link.springer.com/article/10.1007/s44311-025-00009-5</t>
  </si>
  <si>
    <t>CoSMo: A Framework to Instantiate Conditioned Process Simulation Models</t>
  </si>
  <si>
    <t>Title + Abstract</t>
  </si>
  <si>
    <t>Full Text</t>
  </si>
  <si>
    <t>Author</t>
  </si>
  <si>
    <t>Item Type</t>
  </si>
  <si>
    <t>Publication Year</t>
  </si>
  <si>
    <t>Date</t>
  </si>
  <si>
    <t>Publication Title</t>
  </si>
  <si>
    <t>Lukas</t>
  </si>
  <si>
    <t>Keyvan</t>
  </si>
  <si>
    <t>Robert</t>
  </si>
  <si>
    <t>Final Decision</t>
  </si>
  <si>
    <t>Tasks</t>
  </si>
  <si>
    <t>Specific Task</t>
  </si>
  <si>
    <t>Task Grouping</t>
  </si>
  <si>
    <t>Integration Pattern</t>
  </si>
  <si>
    <t>Synergy</t>
  </si>
  <si>
    <t>Value Propositions</t>
  </si>
  <si>
    <t>Note (K1)</t>
  </si>
  <si>
    <t>Checked again</t>
  </si>
  <si>
    <t>What-if Analysis in MOLAP Environments</t>
  </si>
  <si>
    <t>G. Zhou; H. Chen</t>
  </si>
  <si>
    <t>conferencePaper</t>
  </si>
  <si>
    <t>2009 Sixth International Conference on Fuzzy Systems and Knowledge Discovery</t>
  </si>
  <si>
    <t>EX6</t>
  </si>
  <si>
    <t>IN2</t>
  </si>
  <si>
    <t>Evaluation of container forecasting methods for analyzing port container terminal performance using agent-based simulation</t>
  </si>
  <si>
    <t>R. Setiawan; R. Sarno; A. C. Fauzan</t>
  </si>
  <si>
    <t>2018 International Conference on Information and Communications Technology (ICOIACT)</t>
  </si>
  <si>
    <t>Y</t>
  </si>
  <si>
    <t>EX5</t>
  </si>
  <si>
    <t xml:space="preserve">While "Simulation of Agent-Based and Discrete Event for Analyzing Multi Organizational Performance" is not direct extension of this paper, I think we can exlude this one because two authors are the same and the problem address is also the same. Moreover, the quality of later work is higher. </t>
  </si>
  <si>
    <t>Realizing A Digital Twin of An Organization Using Action-oriented Process Mining</t>
  </si>
  <si>
    <t>G. Park; W. M. P. Van Der Aalst</t>
  </si>
  <si>
    <t>2021-11-31</t>
  </si>
  <si>
    <t>2021 3rd International Conference on Process Mining (ICPM)</t>
  </si>
  <si>
    <t>The iBPM Lifecycle: Integrating Low-Code and Hyperautomation Into Business Process Management</t>
  </si>
  <si>
    <t>P. Arno; R. Gabryelczyk</t>
  </si>
  <si>
    <t>journalArticle</t>
  </si>
  <si>
    <t>IEEE Access</t>
  </si>
  <si>
    <t>Predictive analytics and proactive service</t>
  </si>
  <si>
    <t>D. Nauck</t>
  </si>
  <si>
    <t>IET Seminar on Data Analytics 2013: Deriving Intelligence and Value from Big Data</t>
  </si>
  <si>
    <t>EX4</t>
  </si>
  <si>
    <t>Evaluation the Performance of Tax Determination Using Discrete Event Simulation</t>
  </si>
  <si>
    <t>I. R. H. T. Tangkawarow; R. Sarno; A. C. Fauzan</t>
  </si>
  <si>
    <t>2018 2nd International Conference on Informatics and Computational Sciences (ICICoS)</t>
  </si>
  <si>
    <t>https://ieeexplore.ieee.org/abstract/document/8621819</t>
  </si>
  <si>
    <t>Simulate effects of changes to the process</t>
  </si>
  <si>
    <t>Simulate business taxes</t>
  </si>
  <si>
    <t>Simualte process</t>
  </si>
  <si>
    <t>S4</t>
  </si>
  <si>
    <t>Anticipate how future growth will affect process performance and to proactively plan required resources</t>
  </si>
  <si>
    <t>Honestly, the quality of this work is so low that I afraid citing it would be a betrayal to academic work :D -&gt; Yeah, it's really insane.. :D</t>
  </si>
  <si>
    <t>Realizing Automated Production Planning via Proactive AAS and Business Process Models</t>
  </si>
  <si>
    <t>M. Stolze; A. Belyaev; C. Kosel; C. Diedrich; A. Barnard</t>
  </si>
  <si>
    <t>2024 IEEE 29th International Conference on Emerging Technologies and Factory Automation (ETFA)</t>
  </si>
  <si>
    <t>Business Process Engine Simulator</t>
  </si>
  <si>
    <t>S. Pandey; S. Nepal; S. Chen</t>
  </si>
  <si>
    <t>2012 12th IEEE/ACM International Symposium on Cluster, Cloud and Grid Computing (ccgrid 2012)</t>
  </si>
  <si>
    <t>https://ieeexplore.ieee.org/abstract/document/6217496</t>
  </si>
  <si>
    <t>No more detailed task</t>
  </si>
  <si>
    <t>S1</t>
  </si>
  <si>
    <t>Propose a unified simulation + prediction environment: one architecture supports workflow instantiation, simulation execution, storing events, and predicting KPIs like remaining time to completion for running cases.</t>
  </si>
  <si>
    <t>Business Process Analytics Using a Big Data Approach</t>
  </si>
  <si>
    <t>A. Vera-Baquero; R. Colomo-Palacios; O. Molloy</t>
  </si>
  <si>
    <t>IT Professional</t>
  </si>
  <si>
    <t>Outlier detection of business process based on support vector data description</t>
  </si>
  <si>
    <t>L. Quan; G. -s. Tian</t>
  </si>
  <si>
    <t>2009 ISECS International Colloquium on Computing, Communication, Control, and Management</t>
  </si>
  <si>
    <t>The value of simulation in modeling supply chains</t>
  </si>
  <si>
    <t>R. G. Ingallis</t>
  </si>
  <si>
    <t>1998 Winter Simulation Conference. Proceedings (Cat. No.98CH36274)</t>
  </si>
  <si>
    <t>Forecasting across technology discontinuities: visualising the management of "next generation" products and processes</t>
  </si>
  <si>
    <t>G. W. Winch</t>
  </si>
  <si>
    <t>IEE Half-day Colloquium on Engineering Marketing - Engineer and Marketeer in Perfect Harmony?</t>
  </si>
  <si>
    <t>Simulation of Agent-Based and Discrete Event for Analyzing Multi Organizational Performance</t>
  </si>
  <si>
    <t>A. C. Fauzan; R. Sarno; I. Machfud</t>
  </si>
  <si>
    <t>2019 International Seminar on Application for Technology of Information and Communication (iSemantic)</t>
  </si>
  <si>
    <t>https://ieeexplore.ieee.org/abstract/document/8884350</t>
  </si>
  <si>
    <t>Simulate effects to the process of forecasted demands</t>
  </si>
  <si>
    <t>Simulate dwelling time</t>
  </si>
  <si>
    <t>Forecasting estimates future demand, while simulation translates that demand into actionable operational performance metrics (time, waiting, cost) that cannot be predicted directly from time-series models alone.</t>
  </si>
  <si>
    <t>(formally S4, S5)</t>
  </si>
  <si>
    <t>Chaos Synchronization of Bullwhip Effect in a Supply Chain</t>
  </si>
  <si>
    <t>Z. Lei; Y. -j. Li; Y. -q. Xu</t>
  </si>
  <si>
    <t>2006 International Conference on Management Science and Engineering</t>
  </si>
  <si>
    <t>On developing system dynamics model for business process simulation</t>
  </si>
  <si>
    <t>Lianjun An; Jun-Jang Jeng</t>
  </si>
  <si>
    <t>Proceedings of the Winter Simulation Conference, 2005.</t>
  </si>
  <si>
    <t>Optimization of Metallurgical Production Processes Using Simulation Modeling and Development of a Predictive Model Based on Machine Learning</t>
  </si>
  <si>
    <t>D. Orlovskii; M. Kulikovskiy; V. Makarov; V. Pyatetsky</t>
  </si>
  <si>
    <t>2025 18th International Conference on Management of Large-Scale System Development (MLSD)</t>
  </si>
  <si>
    <t>EX1</t>
  </si>
  <si>
    <t>Supply Chain Digital Twin Framework for Hybrid Manufacturing Strategy Selection: A Case Study from the Semiconductor Industry</t>
  </si>
  <si>
    <t>A. Ghasemi; S. Lazarova-Molnar; C. Heavey</t>
  </si>
  <si>
    <t>2024 Winter Simulation Conference (WSC)</t>
  </si>
  <si>
    <t>AI in Manufacturing and Energy</t>
  </si>
  <si>
    <t>Rashed Haq</t>
  </si>
  <si>
    <t>bookSection</t>
  </si>
  <si>
    <t>Enterprise Artificial Intelligence Transformation</t>
  </si>
  <si>
    <t>EX3</t>
  </si>
  <si>
    <t>Simulation standard for business process management</t>
  </si>
  <si>
    <t>J. Januszczak; G. Hook</t>
  </si>
  <si>
    <t>Proceedings of the 2011 Winter Simulation Conference (WSC)</t>
  </si>
  <si>
    <t>Bridging Analytics and Interoperability: A Standardized Digital Twin Solution for Enhanced Enterprise Resource Planning</t>
  </si>
  <si>
    <t>S. De; P. Mitra</t>
  </si>
  <si>
    <t>IEEE Engineering Management Review</t>
  </si>
  <si>
    <t>Forecasting Risk Impact on ERP Maintenance with Augmented Fuzzy Cognitive Maps</t>
  </si>
  <si>
    <t>J. L. Salmeron; C. Lopez</t>
  </si>
  <si>
    <t>IEEE Transactions on Software Engineering</t>
  </si>
  <si>
    <t>Tailoring the Engineering Design Process Through Data and Process Mining</t>
  </si>
  <si>
    <t>L. Maruster; A. Alblas</t>
  </si>
  <si>
    <t>IEEE Transactions on Engineering Management</t>
  </si>
  <si>
    <t>Research on inventory forecasting based on BP neural network</t>
  </si>
  <si>
    <t>L. Gu; Y. Han; C. Wang; G. Shu; J. Feng; C. Wang</t>
  </si>
  <si>
    <t>2017 IEEE SmartWorld, Ubiquitous Intelligence &amp; Computing, Advanced &amp; Trusted Computed, Scalable Computing &amp; Communications, Cloud &amp; Big Data Computing, Internet of People and Smart City Innovation (SmartWorld/SCALCOM/UIC/ATC/CBDCom/IOP/SCI)</t>
  </si>
  <si>
    <t>An XES Extension for the Distributed Simulation of Process Collaborations</t>
  </si>
  <si>
    <t>P. Bocciarelli; A. D’Ambrogio</t>
  </si>
  <si>
    <t>2024 IEEE International Symposium on Systems Engineering (ISSE)</t>
  </si>
  <si>
    <t>Construction of a Nonlinear Model of an Enterprise Based on its Structure and Business Processes Description</t>
  </si>
  <si>
    <t>I. Nekrasov; N. Pravdivets</t>
  </si>
  <si>
    <t>2024 17th International Conference on Management of Large-Scale System Development (MLSD)</t>
  </si>
  <si>
    <t>An Intelligent Chatbot for Negotiation Dialogues</t>
  </si>
  <si>
    <t>S. Chen; Q. Sun; R. Su</t>
  </si>
  <si>
    <t>2022 IEEE Smartworld, Ubiquitous Intelligence &amp; Computing, Scalable Computing &amp; Communications, Digital Twin, Privacy Computing, Metaverse, Autonomous &amp; Trusted Vehicles (SmartWorld/UIC/ScalCom/DigitalTwin/PriComp/Meta)</t>
  </si>
  <si>
    <t>Analyzing the supply chain for a large logistics operation using simulation</t>
  </si>
  <si>
    <t>S. Jain; E. C. Ervin; A. P. Lathrop; R. W. Workman; L. M. Collins</t>
  </si>
  <si>
    <t>Proceeding of the 2001 Winter Simulation Conference (Cat. No.01CH37304)</t>
  </si>
  <si>
    <t>Data-Driven Anomaly Detection in Smart-Railways through Self-Adaptation, Process Mining, and Digital Twins</t>
  </si>
  <si>
    <t>F. Flammini</t>
  </si>
  <si>
    <t>2024 IEEE International Conference on Big Data (BigData)</t>
  </si>
  <si>
    <t>Modeling the Optimal Format of Strategic Management of a Company for Establishing a Region’s Sustainable Development</t>
  </si>
  <si>
    <t>A. M. Kolesnikov; T. A. Kokodey; T. I. Lomachenko; Y. I. Mikhailov</t>
  </si>
  <si>
    <t>2018 IEEE International Conference "Quality Management, Transport and Information Security, Information Technologies" (IT&amp;QM&amp;IS)</t>
  </si>
  <si>
    <t>Simulation-Based Predictive Process Mining with eBPMN: Methods, Challenges and Opportunities</t>
  </si>
  <si>
    <t>2024 Annual Modeling and Simulation Conference (ANNSIM)</t>
  </si>
  <si>
    <t>What’s Coming Next? Short-Term Simulation of Business Processes from Current State</t>
  </si>
  <si>
    <t>M. Avramenko; D. Chapela-Campa; M. Dumas; F. Milani</t>
  </si>
  <si>
    <t>2025 7th International Conference on Process Mining (ICPM)</t>
  </si>
  <si>
    <t>https://ieeexplore.ieee.org/abstract/document/11220647</t>
  </si>
  <si>
    <t>Short-term simulation</t>
  </si>
  <si>
    <t>Backpressure on the Backbone: A Lightweight, Non-Intrusive Traffic Engineering Approach</t>
  </si>
  <si>
    <t>C. Liaskos; X. Dimitropoulos; L. Tassiulas</t>
  </si>
  <si>
    <t>IEEE Transactions on Network and Service Management</t>
  </si>
  <si>
    <t>Incorporating Optimal Transmission Switching in Day-Ahead Unit Commitment and scheduling</t>
  </si>
  <si>
    <t>J. Wu; K. W. Cheung</t>
  </si>
  <si>
    <t>2015 IEEE Power &amp; Energy Society General Meeting</t>
  </si>
  <si>
    <t>Promise and problems of simulation technology in SCM domain</t>
  </si>
  <si>
    <t>S. Bansal</t>
  </si>
  <si>
    <t>Proceedings of the Winter Simulation Conference</t>
  </si>
  <si>
    <t>Sensor Web service integration for pandemic disease spread simulation</t>
  </si>
  <si>
    <t>G. Yu; L. Di; J. A. Smith; Bei Zhang; Peichuan Li; Hulin Wang; Min Min</t>
  </si>
  <si>
    <t>2009 17th International Conference on Geoinformatics</t>
  </si>
  <si>
    <t>Change your history: Learning from event logs to improve processes</t>
  </si>
  <si>
    <t>W. M. P. van der Aalst; W. Z. Low; M. T. Wynn; A. H. M. ter Hofstede</t>
  </si>
  <si>
    <t>2015 IEEE 19th International Conference on Computer Supported Cooperative Work in Design (CSCWD)</t>
  </si>
  <si>
    <t>Combining agent-based supply net simulation and constraint technology for highly efficient simulation of supply networks using APS systems</t>
  </si>
  <si>
    <t>Baumgaertel; John</t>
  </si>
  <si>
    <t>Proceedings of the 2003 Winter Simulation Conference, 2003.</t>
  </si>
  <si>
    <t>A Systematic Review of Process Mining in Healthcare</t>
  </si>
  <si>
    <t>H. Al-Badarneh; A. Arif</t>
  </si>
  <si>
    <t>2025 International Conference on New Trends in Computing Sciences (ICTCS)</t>
  </si>
  <si>
    <t>Change scheduling based on business impact analysis of change-related risk</t>
  </si>
  <si>
    <t>T. Setzer; K. Bhattacharya; H. Ludwig</t>
  </si>
  <si>
    <t>Design specifications of a generic supply chain simulator</t>
  </si>
  <si>
    <t>S. Umeda; Y. T. Lee</t>
  </si>
  <si>
    <t>Proceedings of the 2004 Winter Simulation Conference, 2004.</t>
  </si>
  <si>
    <t>Leveraging 5G for Industry 4.0 Optimizing Business Processes and Driving Automation</t>
  </si>
  <si>
    <t>C. Lahari; M. Y. Nayudu; V. Veeraiah; A. Gupta; R. Anand; N. Sindhwani; M. Mittal</t>
  </si>
  <si>
    <t>2025 12th International Conference on Reliability, Infocom Technologies and Optimization (Trends and Future Directions) (ICRITO)</t>
  </si>
  <si>
    <t>A Framework for Investigating the Adoption of Key Technologies: Presentation of the Methodology and Explorative Analysis of Emerging Practices</t>
  </si>
  <si>
    <t>A. Cammarano; V. Varriale; F. Michelino; M. Caputo</t>
  </si>
  <si>
    <t>Unleashing the Power of Process Mining for Discovering and Analyzing Ad Hoc Networks</t>
  </si>
  <si>
    <t>S. I. Bouhidel; N. Belala</t>
  </si>
  <si>
    <t>2023 International Conference on Networking and Advanced Systems (ICNAS)</t>
  </si>
  <si>
    <t>Data-Driven Simulation-Based Analysis of Collaborative Business Processes in Distributed Environments</t>
  </si>
  <si>
    <t>2025 Annual Modeling and Simulation Conference (ANNSIM)</t>
  </si>
  <si>
    <t>An Integration of Static and Dynamic Capacity Planning for a Ramping Fab</t>
  </si>
  <si>
    <t>G. Seidel; P. Preuss; C. Canbolat; S. L. Low; C. Wye Chan; B. P. Gan; C. Foong Lee; P. Manogaran; A. Y. Tang</t>
  </si>
  <si>
    <t>2019 Winter Simulation Conference (WSC)</t>
  </si>
  <si>
    <t>Immersive collaborative business process and extended reality-driven industrial metaverse technologies for economic value co-creation in 3D digital twin factories</t>
  </si>
  <si>
    <t>Chatterjee, Sheshadri; Kliestik, Tomas; Rowland, Zuzana; Bugaj, Martin</t>
  </si>
  <si>
    <t>OECONOMIA COPERNICANA</t>
  </si>
  <si>
    <t>Development of a Method of Ensuring Control over Deviations in the Work of Automated Systems of the Enterprise on the Example of the Electric Power Industry</t>
  </si>
  <si>
    <t>Antonov, V. V.; Shkarov, V. N.; Rodionova, L. E.; Palchevsky, E. V.; Smetanina, O. N.; Ufa University of Science and Technology, Ufa, 450008, Russian Federation; Ufa Instrument Manufacturing Association, Ufa, 450076, Russian Federation; Ufa University of Science and Technology, Ufa, 450008, Russian Federation; Financial University under the Government of the Russian Federation, Moscow, 109456, Russian Federation; Ufa University of Science and Technology, Ufa, 450008, Russian Federation</t>
  </si>
  <si>
    <t>PROGRAMMNAYA INGENERIA</t>
  </si>
  <si>
    <t>The Importance of Data Analytics in Business Process Optimization: A Focus on Predictive Process Monitoring</t>
  </si>
  <si>
    <t>Lakhamraju, Manoj Varma</t>
  </si>
  <si>
    <t>African Journal of Biomedical Research</t>
  </si>
  <si>
    <t>Advanced Electronic Controller Circuits Enabling Production Processes and AI-driven KM in Industry 5.0</t>
  </si>
  <si>
    <t>Massaro, Alessandro; Santarsiero, Francesco; Schiuma, Giovanni</t>
  </si>
  <si>
    <t>Journal of Industrial Information Integration</t>
  </si>
  <si>
    <t>The Use of Simulation Modeling in Hospital Pharmacy Inventory Management</t>
  </si>
  <si>
    <t>Kritchanchai, Duangpun; Supeekit, Tuangyot; Chanpuypetch, Wirachchaya</t>
  </si>
  <si>
    <t>Procedia Computer Science</t>
  </si>
  <si>
    <t>S6</t>
  </si>
  <si>
    <t>The paper uses prediction only to parameterize demand inputs for simulation, while simulation serves as a what-if analysis tool</t>
  </si>
  <si>
    <t>Part II - Functionality Concerns of the Current System</t>
  </si>
  <si>
    <t>Auvinen, Heikki K.</t>
  </si>
  <si>
    <t>Verification of Normative-Reference Information for Building a Production Simulation Model</t>
  </si>
  <si>
    <t>Dresvyannikov, D. G.</t>
  </si>
  <si>
    <t>Intellekt Sist Proizv</t>
  </si>
  <si>
    <t>EX2</t>
  </si>
  <si>
    <t>INDUSTRIAL ENGINEERING APPROACHES TO QUALITY CONTROL IN HYBRID MANUFACTURING A REVIEW OF IMPLEMENTATION STRATEGIES</t>
  </si>
  <si>
    <t>Hasan, Md Mesbaul; Master in industrial engineering, Department of Industrial Engineering, Lamar University, Beaumont, Texas, USA</t>
  </si>
  <si>
    <t>International Journal of Business and Economics Insights</t>
  </si>
  <si>
    <t>A cloud based infrastructure to support business process analytics on highly distributed environments</t>
  </si>
  <si>
    <t>Baquero, Alejandro Vera</t>
  </si>
  <si>
    <t>Predictive modelling for smart and sustainable logistics</t>
  </si>
  <si>
    <t>Medoh, Chuks; Telukdarie, Arnesh</t>
  </si>
  <si>
    <t>International Journal of Logistics Systems and Management</t>
  </si>
  <si>
    <t>MODELING OF BUSINESS PROCESSES ON THE BASIS OF BUILDING AN OPTIMAL SYSTEM OF COMPLEXING ADAPTIVE-ORGANIZATIONAL MECHANISM MANAGEMENT OF ENTERPRISES</t>
  </si>
  <si>
    <t>Levytskyi, Viktor</t>
  </si>
  <si>
    <t>Economic journal of Lesya Ukrainka Volyn National University</t>
  </si>
  <si>
    <t>Driving Circular Economy Strategies Through Digital Transformation and Emerging Technologies</t>
  </si>
  <si>
    <t>K Radhika</t>
  </si>
  <si>
    <t>Journal of Information Systems Engineering &amp; Management</t>
  </si>
  <si>
    <t>Process mining-driven modeling and simulation to enhance fault diagnosis in cyber-physical systems</t>
  </si>
  <si>
    <t>Vitale, Francesco; Dall'Ora, Nicola; Gaiardelli, Sebastiano; Fraccaroli, Enrico; Mazzocca, Nicola; Fummi, Franco</t>
  </si>
  <si>
    <t>Arxiv</t>
  </si>
  <si>
    <t>S7</t>
  </si>
  <si>
    <t>Interpretability + executable fault models from low-level data.</t>
  </si>
  <si>
    <t>No Prediction</t>
  </si>
  <si>
    <t>PROCESS RENOVATION: CASE STUDY OF A LIQUIDITY PLANNING PROCESS OF THE NATIONAL BUDGET IN SLOVENIA</t>
  </si>
  <si>
    <t>Horjak, Marjeta; Gartner, Anja</t>
  </si>
  <si>
    <t>AGORA INTERNATIONAL JOURNAL OF ECONOMICAL SCIENCES</t>
  </si>
  <si>
    <t>A process model for dynamic analysis and prediction of information security risks for personnel</t>
  </si>
  <si>
    <t>Korobeinikova, T.I.; Yamnych, A.B.</t>
  </si>
  <si>
    <t>Radiotekhnika</t>
  </si>
  <si>
    <t>Sustainable Information System for Enhancing Virtual Company Resilience Through Machine Learning in Smart City Socio-Economic Scenarios</t>
  </si>
  <si>
    <t>Lipianina-Honcharenko, Khrystyna; Komar, Myroslav; Melnyk, Nazar; Komarnytsky, Roman</t>
  </si>
  <si>
    <t>ECONOMICS</t>
  </si>
  <si>
    <t>Methods to Integrate Domain Expert User Knowledge into Process Discovery</t>
  </si>
  <si>
    <t>Alnahas, Jasimmohammed E.</t>
  </si>
  <si>
    <t>book</t>
  </si>
  <si>
    <t>The impact of information sharing and forecasting in capacitated industrial supply chains: A case study</t>
  </si>
  <si>
    <t>Byrne, P. J.; Heavey, Cathal</t>
  </si>
  <si>
    <t>INTERNATIONAL JOURNAL OF PRODUCTION ECONOMICS</t>
  </si>
  <si>
    <t>This paper uses forecasting as an input to a discrete-event simulation, where simulation serves to evaluate the operational and economic consequences of prediction quality and information sharing</t>
  </si>
  <si>
    <t>Economic-analytical models for diagnosing the productivity of construction development enterprises</t>
  </si>
  <si>
    <t>Gergi, Denys; Demchuk, Andrii; Koshelnyi, Ivan; Buniak, Serhii; Petrenko, Oleksandr</t>
  </si>
  <si>
    <t>WAYS TO IMPROVE CONSTRUCTION EFFICIENCY</t>
  </si>
  <si>
    <t>The Role of Simulation in Business Process Improvement: Difficulties and Solutions</t>
  </si>
  <si>
    <t>Sousa, André Filipe Couto de</t>
  </si>
  <si>
    <t>The Analytic Supporting Tools for Business Reengineering With System Integration Design</t>
  </si>
  <si>
    <t>Zhou, Yonghua; Chen, Yuliu</t>
  </si>
  <si>
    <t>IEEE TRANSACTIONS ON SYSTEMS MAN AND CYBERNETICS PART A-SYSTEMS AND HUMANS</t>
  </si>
  <si>
    <t>On the predictive performance of queueing network models for large-scale distributed transaction processing systems</t>
  </si>
  <si>
    <t>Huehn, Oliver; Markl, Christian; Bichler, Martin</t>
  </si>
  <si>
    <t>INFORMATION TECHNOLOGY &amp; MANAGEMENT</t>
  </si>
  <si>
    <t>MODELING DIGITAL TWINS OF BUSINESS PROCESSES AS A TOOL FOR MANAGING COMPANY EFFICIENCY</t>
  </si>
  <si>
    <t>Semenenko, Yurii</t>
  </si>
  <si>
    <t>Scientific Notes of Ostroh Academy National University, "Economics" Series</t>
  </si>
  <si>
    <t>Methodologies for the Integrated Modeling and Optimization of Digital Supply Chains</t>
  </si>
  <si>
    <t>Pérez Parra, Héctor David</t>
  </si>
  <si>
    <t>A Proposed System-Level Performance Modeling Framework for Service Industries with Access to Limited Data</t>
  </si>
  <si>
    <t>Worrell, Sallamar Krystal Adonna</t>
  </si>
  <si>
    <t>Validating Forecasting Models in the Energy Industry: A Proposed Strategic Forecasting Framework</t>
  </si>
  <si>
    <t>Mahajan, Manoj Dev</t>
  </si>
  <si>
    <t>Application of Business Process Modelling and Blockchain Technology for Financial Cloud</t>
  </si>
  <si>
    <t>Ramachandran, Muthu</t>
  </si>
  <si>
    <t>Learn PAd : Collaborative and Model-based Learning in Public Administrations.</t>
  </si>
  <si>
    <t>Bertolino, Antonia; Angelis, Guglielmo De; Polini, Andrea; Silingas, Darius</t>
  </si>
  <si>
    <t>An integrated modeling framework for quantitative business continuity assessment</t>
  </si>
  <si>
    <t>Zeng, Zhiguo; Zio, Enrico</t>
  </si>
  <si>
    <t>PROCESS SAFETY AND ENVIRONMENTAL PROTECTION</t>
  </si>
  <si>
    <t>Research synthesis in collaborative planning forecast and replenishment</t>
  </si>
  <si>
    <t>Tavares Thome, Antonio Marcio; Hollmann, Roberto Luis; Rodriguez Scavarda do Carmo, Luiz Felipe Roris</t>
  </si>
  <si>
    <t>INDUSTRIAL MANAGEMENT &amp; DATA SYSTEMS</t>
  </si>
  <si>
    <t>Project Planning Tools in Reengineering Implementation With Simulation</t>
  </si>
  <si>
    <t>Güler, Mehmet Emre</t>
  </si>
  <si>
    <t>A Process Perspective Event-log Analysis Method for Airport BHS (Baggage Handling System)</t>
  </si>
  <si>
    <t>NYUM, PARK SHIN; Minseok, Song</t>
  </si>
  <si>
    <t>The Korea Journal of BigData</t>
  </si>
  <si>
    <t>Evaluating the supply chain performance of IT-based inter-enterprise collaboration</t>
  </si>
  <si>
    <t>Chen, Mu-Chen; Yang, Taho; Li, Hsin-Chia</t>
  </si>
  <si>
    <t>INFORMATION &amp; MANAGEMENT</t>
  </si>
  <si>
    <t>Quality constraint approach: A Six Sigma /throughput approach in manufacturing to achieve company success and continuous improvement</t>
  </si>
  <si>
    <t>Sierra, Jose E.</t>
  </si>
  <si>
    <t>A scenario-based modeling method for controlling ECM performance</t>
  </si>
  <si>
    <t>Lopez, Cristina; Ishizaka, Alessio</t>
  </si>
  <si>
    <t>EXPERT SYSTEMS WITH APPLICATIONS</t>
  </si>
  <si>
    <t>Study on incentive mechanism of supply chain coordination based on the bullwhip effect</t>
  </si>
  <si>
    <t>Wang, Fei</t>
  </si>
  <si>
    <t>Modelling business process redesign strategies for improved reverse logistics in an aircraft component supply chain: A case study at KLM Engineering a Maintenance Component Services</t>
  </si>
  <si>
    <t>Cornelisse, Erik</t>
  </si>
  <si>
    <t>Predictive Approaches for Resource Provisioning in Distributed Systems</t>
  </si>
  <si>
    <t>Borkowski, Michael</t>
  </si>
  <si>
    <t>Research on project scheduling methods under uncertainty and its implementation</t>
  </si>
  <si>
    <t>Lu, Rui</t>
  </si>
  <si>
    <t>Clinicial trial business process management supported by digital twins</t>
  </si>
  <si>
    <t>Silvia Inês Dallavalle de Pádua</t>
  </si>
  <si>
    <t>INTELLIGENT TECHNOLOGIES IN BUSINESS: THE IMPACT OF ARTIFICIAL INTELLIGENCE ON SUSTAINABLE DEVELOPMENT</t>
  </si>
  <si>
    <t>Lisova, Ruslana</t>
  </si>
  <si>
    <t>Green Blue and Digital Economy Journal</t>
  </si>
  <si>
    <t>S2</t>
  </si>
  <si>
    <t>simulation is used to generate synthetic data, and prediction models are trained and evaluated on that simulated data</t>
  </si>
  <si>
    <t>BUSINESS ANALYTICS OF DIGITAL MODELS OF ECONOMIC ACTIVITY PROCESSES</t>
  </si>
  <si>
    <t>Shvetsov, Egor V.; Plekhanov Russian University of Economics, Moscow, Russia</t>
  </si>
  <si>
    <t>EKONOMIKA I UPRAVLENIE PROBLEMY RESHENIYA</t>
  </si>
  <si>
    <t>Workplace and workforce 2000+ - the future of our work environment</t>
  </si>
  <si>
    <t>Oechsler, WA</t>
  </si>
  <si>
    <t>INTERNATIONAL ARCHIVES OF OCCUPATIONAL AND ENVIRONMENTAL HEALTH</t>
  </si>
  <si>
    <t>The Role of Data Analytics in Optimizing Hospital Resource Allocation and Decision-making</t>
  </si>
  <si>
    <t>Edward; Nanny Djaya</t>
  </si>
  <si>
    <t>Journal of Tropical Pharmacy and Chemistry</t>
  </si>
  <si>
    <t>Research on Process Based Object-Oriented Enterprise Modeling and Design of Workflow System基于流程的面向对象企业建模研究及工作流管理系统设计</t>
  </si>
  <si>
    <t>Zhou, Yu</t>
  </si>
  <si>
    <t>Cyber-Physical Business Systems Modelling: Advancing Industry 4.0</t>
  </si>
  <si>
    <t>Medoh, Chuks Nnamdi</t>
  </si>
  <si>
    <t>STUDY ON DYNAMIC ADAPTABILITY IN THE MIGRATING WORKFLOW SYSTEM迁移工作流系统中的动态适应性研究</t>
  </si>
  <si>
    <t>Liu, Fei</t>
  </si>
  <si>
    <t>Modeling Languages for Automotive Digital Twins: A Survey Among the German Automotive Industry</t>
  </si>
  <si>
    <t>Pfeiffer, Jérôme; Fuchß, Dominik; Kühn, Thomas; Liebhart, Robin; Neumann, Dirk; Neimöck, Christer; Seiler, Christian; Koziolek, Anne; Wortmann, Andreas</t>
  </si>
  <si>
    <t>Proceedings of the ACM/IEEE 27th International Conference on Model Driven Engineering Languages and Systems</t>
  </si>
  <si>
    <t>A Language to Model and Simulate Data Quality Issues in Process Mining</t>
  </si>
  <si>
    <t>Comuzzi, Marco; Ko, Jonghyeon; Maggi, Fabrizio</t>
  </si>
  <si>
    <t>J. Data and Information Quality</t>
  </si>
  <si>
    <t>Design of digital twin system for aquaculture</t>
  </si>
  <si>
    <t>Zhang, Jiyuan; He, Shaojia; Zou, Guangyi</t>
  </si>
  <si>
    <t>Proceedings of the 2023 5th International Conference on Internet of Things, Automation and Artificial Intelligence</t>
  </si>
  <si>
    <t>Multi-flow Process Mining for Comprehensive Simulation Model Discovery</t>
  </si>
  <si>
    <t>Khodadadi, Atieh; Lazarova-Molnar, Sanja</t>
  </si>
  <si>
    <t>Proceedings of the 2024 14th International Conference on Information Communication and Management</t>
  </si>
  <si>
    <t>Research on Operator Location Awareness Based on Inspection Trajectories in Complex Oil and Gas Field Production Environments</t>
  </si>
  <si>
    <t>Zhang, Jingmei; Wu, Wenzhe; Wang, Nan</t>
  </si>
  <si>
    <t>Proceedings of the 2025 2nd International Conference on Cloud Computing and Big Data</t>
  </si>
  <si>
    <t>Forecasting the Impact of Anomalous Events on Business Process Performance</t>
  </si>
  <si>
    <t>Saha, Avirup; Ghosh, Sambit; Gantayat, Neelamadhav; Sindhgatta, Renuka</t>
  </si>
  <si>
    <t>Proceedings of the 7th Joint International Conference on Data Science &amp;amp; Management of Data (11th ACM IKDD CODS and 29th COMAD)</t>
  </si>
  <si>
    <t>Research on the Regional Collaborative Monitoring System for the Marine Environment and Ecology in the Beibu Gulf</t>
  </si>
  <si>
    <t>Lin, Bo</t>
  </si>
  <si>
    <t>Proceedings of the 2023 4th International Conference on Computer Science and Management Technology</t>
  </si>
  <si>
    <t>Explainable Multi-perspective Business Process Anomaly Detection Method Based on Graph Neural Networks</t>
  </si>
  <si>
    <t>Bao, Wei; Lu, Ke; Fang, Xianwen; Zhang, Xiwei</t>
  </si>
  <si>
    <t>ACM Trans. Manage. Inf. Syst.</t>
  </si>
  <si>
    <t>An algorithmic method for business process reengineering and service automation in the public sector</t>
  </si>
  <si>
    <t>Charalabidis, Yannis; Lachana, Zoi; Alexopoulos, Charalampos; Loutsaris, Michalis-Avgerinos</t>
  </si>
  <si>
    <t>Proceedings of the 16th International Conference on Theory and Practice of Electronic Governance</t>
  </si>
  <si>
    <t>A hybrid process mining framework for automated simulation modelling for healthcare</t>
  </si>
  <si>
    <t>Mesabbah, Mohammed; Abo-Hamad, Waleed; McKeever, Susan</t>
  </si>
  <si>
    <t>https://ieeexplore.ieee.org/abstract/document/9004800</t>
  </si>
  <si>
    <t>Resource planning</t>
  </si>
  <si>
    <t>machine-learning-based prediction is embedded within a discrete-event simulation to model agent behavior, determining next activity and time</t>
  </si>
  <si>
    <t>Smart Business Processing in Industry 4.0</t>
  </si>
  <si>
    <t>Liakos, Christos; Panagopoulos, Aimilios Christos; Karkazis, Panagiotis</t>
  </si>
  <si>
    <t>Proceedings of the 26th Pan-Hellenic Conference on Informatics</t>
  </si>
  <si>
    <t>A Preliminary Predictive Simulation Model for Hip and Knee Replacement Profile-Dependent Pathway Stages</t>
  </si>
  <si>
    <t>Kassimi, Ahmed Bakali El; Xie, Xiaolan; Sarazin, Marianne; Fresard, Pierre-Luc; Semay, Bertrand</t>
  </si>
  <si>
    <t>https://ieeexplore.ieee.org/abstract/document/10407783</t>
  </si>
  <si>
    <t>Improve process (for patient satisfaction and efficiency)</t>
  </si>
  <si>
    <t>machine-learning-based predictions of profile-dependent clinical events are used to construct personalized simulation pathways, and simulation is then used to evaluate how these predictions translate into patient flows and system-level behavior
Simulation is used to evaluate prediction outcomes on a larger scale for varying age groups</t>
  </si>
  <si>
    <t>The estimating index and self-organizing model based on the ant colony algorithm</t>
  </si>
  <si>
    <t>Xu, Peng; Luan, Shu</t>
  </si>
  <si>
    <t>Proceedings of the 7th International Conference on Cyber Security and Information Engineering</t>
  </si>
  <si>
    <t>Waste Management Through Digital Twins and Business Process Modeling</t>
  </si>
  <si>
    <t>Di Salle, Amleto; Fedeli, Arianna; Iovino, Ludovico; Mariani, Leonardo; Micucci, Daniela; Rebelo, Luciana; Rossi, Maria Teresa</t>
  </si>
  <si>
    <t>A Process-Aware Decision Support System for Business Processes</t>
  </si>
  <si>
    <t>Agarwal, Prerna; Gao, Buyu; Huo, Siyu; Reddy, Prabhat; Dechu, Sampath; Obeidi, Yazan; Muthusamy, Vinod; Isahagian, Vatche; Carbajales, Sebastian</t>
  </si>
  <si>
    <t>Proceedings of the 28th ACM SIGKDD Conference on Knowledge Discovery and Data Mining</t>
  </si>
  <si>
    <t>Design of enterprise operation and management mode based on big data + artificial intelligence technology</t>
  </si>
  <si>
    <t>Liu, Zhenbo; Guan, Yanju</t>
  </si>
  <si>
    <t>Proceedings of the 2025 2nd International Conference on Big Data and Digital Management</t>
  </si>
  <si>
    <t>Automatic Model Generation and Data Assimilation Framework for Cyber-Physical Production Systems</t>
  </si>
  <si>
    <t>Tan, Wen Jun; Seok, Moon Gi; Cai, Wentong</t>
  </si>
  <si>
    <t>Proceedings of the 2023 ACM SIGSIM Conference on Principles of Advanced Discrete Simulation</t>
  </si>
  <si>
    <t>An approach for a simulation-based analysis of business processes using the systems modeling language (SysML)</t>
  </si>
  <si>
    <t>Giertzsch, Fabian; Eichmann, Oliver C.; Hintze, Hartmut; God, Ralf</t>
  </si>
  <si>
    <t>Proceedings of the 25th International Conference on Model Driven Engineering Languages and Systems: Companion Proceedings</t>
  </si>
  <si>
    <t>Assessing a Decision Support Tool for SOC Analysts</t>
  </si>
  <si>
    <t>Happa, Jassim; Agrafiotis, Ioannis; Helmhout, Martin; Bashford-Rogers, Thomas; Goldsmith, Michael; Creese, Sadie</t>
  </si>
  <si>
    <t>Digital Threats</t>
  </si>
  <si>
    <t>Design and Realisation of Scalable Business Process Management Systems for Deployment in the Cloud</t>
  </si>
  <si>
    <t>Ouyang, Chun; Adams, Michael; Hofstede, Arthur H. M. Ter; Yu, Yang</t>
  </si>
  <si>
    <t>Commercial Management Model based on the DFSS and BPM Methodology to Increase Liquidity in SMEs in the Retail Commercial Sector</t>
  </si>
  <si>
    <t>Quiroz-Flores, Juan Carlos; Sanchez-Jimenez, Yasmin; Meza-La Rosa, Catherine</t>
  </si>
  <si>
    <t>Proceedings of the 8th International Conference on Industrial and Business Engineering</t>
  </si>
  <si>
    <t>Integrated Lean Logistics - Warehousing model to reduce Lead Time in an SME of food sector: A research in Peru</t>
  </si>
  <si>
    <t>Quiroz-Flores, Juan Carlos; Canales-Huaman, Daniela Steisy; Gamio-Valdivia, Karina Guiuliana</t>
  </si>
  <si>
    <t>2022 The 3rd International Conference on Industrial Engineering and Industrial Management</t>
  </si>
  <si>
    <t>Application of Information Audit Practice in Virtual Laboratory Simulation Environment</t>
  </si>
  <si>
    <t>Li, Wenji; Zheng, Jun</t>
  </si>
  <si>
    <t>Proceedings of the 2nd International Conference on Educational Knowledge and Informatization</t>
  </si>
  <si>
    <t>China's Offshore Service Outsourcing-oriented Structural Analysis by Floating Exchange Rate System under Internet of Things and Cloud Computing</t>
  </si>
  <si>
    <t>Song, Jinlong; Peng, Hui; Chen, Xuejie</t>
  </si>
  <si>
    <t>Proceedings of the 2nd International Conference on Machine Intelligence and Digital Applications</t>
  </si>
  <si>
    <t>Commercial Model to Increase Sales through Mixed Methodologies in an Automotive Retailer</t>
  </si>
  <si>
    <t>Farfan-Pena, Hansell; Guibovich-Jara, Mirko; Quiroz-Flores, Juan Carlos; Flores-Perez, Alberto</t>
  </si>
  <si>
    <t>Proceedings of the 2023 10th International Conference on Industrial Engineering and Applications</t>
  </si>
  <si>
    <t>Research on E-commerce Assisted Teaching System Based on Artificial Intelligence Technology</t>
  </si>
  <si>
    <t>Sheng, Li</t>
  </si>
  <si>
    <t>Proceedings of the 2025 6th International Conference on Education, Knowledge and Information Management</t>
  </si>
  <si>
    <t>Health intelligence: discovering the process model using process mining by constructing start-to-end patient journeys</t>
  </si>
  <si>
    <t>Perimal-Lewis, Lua; De Vries, Denise; Thompson, Campbell H.</t>
  </si>
  <si>
    <t>Proceedings of the Seventh Australasian Workshop on Health Informatics and Knowledge Management - Volume 153</t>
  </si>
  <si>
    <t>Detecting Process Duration Drift Using Gamma Mixture Models in a Left-Truncated and Right-Censored Environment</t>
  </si>
  <si>
    <t>Yang, Lingkai; McClean, Sally; Donnelly, Mark; Khan, Kashaf; Burke, Kevin</t>
  </si>
  <si>
    <t>ACM Trans. Knowl. Discov. Data</t>
  </si>
  <si>
    <t>Big data fueled process management of supply risks: sensing, prediction, evaluation and mitigation</t>
  </si>
  <si>
    <t>He, Miao; Ji, Hao; Wang, Qinhua; Ren, Changrui; Lougee, Robin</t>
  </si>
  <si>
    <t>Proceedings of the 2014 Winter Simulation Conference</t>
  </si>
  <si>
    <t>https://ieeexplore.ieee.org/abstract/document/7019960</t>
  </si>
  <si>
    <t>Supply chain risk assessment</t>
  </si>
  <si>
    <t>S2, S5</t>
  </si>
  <si>
    <t>prediction identifies and quantifies supply risks, while simulation translates those predicted risks into operational and economic impacts
Dual system of predicting risks and then if one is identified simulating the process given this risk</t>
  </si>
  <si>
    <t>Modeling Resources to Simulate Business Process Reliability</t>
  </si>
  <si>
    <t>Bocciarelli, Paolo; D’Ambrogio, Andrea; Giglio, Andrea; Paglia, Emiliano</t>
  </si>
  <si>
    <t>ACM Trans. Model. Comput. Simul.</t>
  </si>
  <si>
    <t>Incorporating spatial context into remaining-time predictive process monitoring</t>
  </si>
  <si>
    <t>Ogunbiyi, Niyi; Basukoski, Artie; Chaussalet, Thierry</t>
  </si>
  <si>
    <t>Proceedings of the 36th Annual ACM Symposium on Applied Computing</t>
  </si>
  <si>
    <t>Construction and Application of a Financial Comprehensive Practical Teaching Platform Based on School-Enterprise Cooperation</t>
  </si>
  <si>
    <t>Li, Changbin</t>
  </si>
  <si>
    <t>Proceedings of the 2023 International Conference on Information Education and Artificial Intelligence</t>
  </si>
  <si>
    <t>Business process modeling with UKoSim</t>
  </si>
  <si>
    <t>Savchenko, Ihor; Novotny, Peter; Fleck, Herbert</t>
  </si>
  <si>
    <t>Proceedings of the 2021 7th International Conference on Computer Technology Applications</t>
  </si>
  <si>
    <t>Deception in Network Defences Using Unpredictability</t>
  </si>
  <si>
    <t>Happa, Jassim; Bashford-Rogers, Thomas; Van Rensburg, Alastair Janse; Goldsmith, Michael; Creese, Sadie</t>
  </si>
  <si>
    <t>Large scale predictive modeling for micro-simulation of 3G air interface load</t>
  </si>
  <si>
    <t>Radosavljevik, Dejan; van der Putten, Peter</t>
  </si>
  <si>
    <t>Proceedings of the 20th ACM SIGKDD International Conference on Knowledge Discovery and Data Mining</t>
  </si>
  <si>
    <t>Research on Petri Nets Based Optimization of Searail Intermodal Transport Business Process in a Data Security Sharing Environment</t>
  </si>
  <si>
    <t>Yan, Feiyu; Huang, Lei; Wang, Ying</t>
  </si>
  <si>
    <t>Generating Hidden Markov Models from Process Models Through Nonnegative Tensor Factorization</t>
  </si>
  <si>
    <t>Skau, Erik; Hollis, Andrew; Eidenbenz, Stephan; Rasmussen, Kim; Alexandrov, Boian</t>
  </si>
  <si>
    <t>Research on Budget Management Digitization of Expressway Company Based on Robotic Process Automation</t>
  </si>
  <si>
    <t>Zhou, Rong; Li, Xu; Gao, Jian; Li, Hengyu</t>
  </si>
  <si>
    <t>Business process adaptation on a tracked simulation model</t>
  </si>
  <si>
    <t>Solomon, Andrei; Litoiu, Marin; Benayon, Jay; Lau, Alex</t>
  </si>
  <si>
    <t>Proceedings of the 2010 Conference of the Center for Advanced Studies on Collaborative Research</t>
  </si>
  <si>
    <t>The Construction of Network-Assisted Teaching System of Naval Vocational English Convergence Media Teaching Materials Based on Epub</t>
  </si>
  <si>
    <t>Liu, Haiqi</t>
  </si>
  <si>
    <t>Simulation-based operation management of outpatient departments in university hospitals</t>
  </si>
  <si>
    <t>Choi, Byoung K.; Kang, Donghun; Kong, Joohoe; Kim, Hyeonsik; Jamjoom, Arwa A.; Mogbil, Aisha M.; Alghamdi, Thoria A.</t>
  </si>
  <si>
    <t>Proceedings of the 2013 Winter Simulation Conference: Simulation: Making Decisions in a Complex World</t>
  </si>
  <si>
    <t>Using process mining to model interarrival times: investigating the sensitivity of the arpra framework</t>
  </si>
  <si>
    <t>Martin, Niels; Depaire, Benoît; Caris, An</t>
  </si>
  <si>
    <t>Proceedings of the 2015 Winter Simulation Conference</t>
  </si>
  <si>
    <t>Development of Data Exchange Equipment between Electricity Meters and Payment-Control Cards</t>
  </si>
  <si>
    <t>Li, Jinjin; Mo, Fanghua; Pan, Juntao; Tang, Zhitao</t>
  </si>
  <si>
    <t>Proceedings of the 6th International Conference on Information Technologies and Electrical Engineering</t>
  </si>
  <si>
    <t>I Will Survive: An Event-driven Conformance Checking Approach Over Process Streams</t>
  </si>
  <si>
    <t>Raun, Kristo; Tommasini, Riccardo; Awad, Ahmed</t>
  </si>
  <si>
    <t>Proceedings of the 17th ACM International Conference on Distributed and Event-Based Systems</t>
  </si>
  <si>
    <t>Predicting the impact on business performance of enhanced information system using business process simulation</t>
  </si>
  <si>
    <t>Tan, Yifei; Takakuwa, Soemon</t>
  </si>
  <si>
    <t>Proceedings of the 39th Conference on Winter Simulation: 40 Years! The Best is yet to Come</t>
  </si>
  <si>
    <t>4SEE: a model-driven simulation engineering framework for business process analysis in a SaaS paradigm</t>
  </si>
  <si>
    <t>Bocciarelli, Paolo; D'Ambrogio, Andrea; Gianni, Daniele</t>
  </si>
  <si>
    <t>Proceedings of the Symposium on Theory of Modeling &amp;amp; Simulation - DEVS Integrative M&amp;amp;S Symposium</t>
  </si>
  <si>
    <t>Competitive Advantage Model Through Knowledge Management Systems Implementation to Optimize Business Sustainability</t>
  </si>
  <si>
    <t>Sardjono, Wahyu; Lusia, Erma; Utomo, Hargo; Sukardi, Samudra; Rahmasari, Aninda; Regent Montororing, Yuri Delano</t>
  </si>
  <si>
    <t>Proceedings of the 2021 9th International Conference on Information Technology: IoT and Smart City</t>
  </si>
  <si>
    <t>Packaging capacity analysis of a biopharmaceutical production operation</t>
  </si>
  <si>
    <t>Chu, Steve; Saraph, Prasad V.; Schruben, Lee</t>
  </si>
  <si>
    <t>Proceedings of the 37th Conference on Winter Simulation</t>
  </si>
  <si>
    <t>Estimating performance of a business process model</t>
  </si>
  <si>
    <t>Kamrani, Farzad; Ayani, Rassul; Moradi, Farshad; Holm, Gunnar</t>
  </si>
  <si>
    <t>Winter Simulation Conference</t>
  </si>
  <si>
    <t>Discovering event correlation rules for semi-structured business processes</t>
  </si>
  <si>
    <t>Rozsnyai, Szabolcs; Slominski, Aleksander; Lakshmanan, Geetika T.</t>
  </si>
  <si>
    <t>Proceedings of the 5th ACM International Conference on Distributed Event-Based System</t>
  </si>
  <si>
    <t>Concept drift detection and localization in process mining: an integrated and efficient approach enabled by trace clustering</t>
  </si>
  <si>
    <t>de Sousa, Rafael Gaspar; Peres, Sarajane Marques; Fantinato, Marcelo; Reijers, Hajo Alexander</t>
  </si>
  <si>
    <t>A methodology for integrating business process and information infrastructure models</t>
  </si>
  <si>
    <t>Painter, Michael K.; Fernandes, Ronald; Padmanaban, Natarajan; Mayer, Richard J.</t>
  </si>
  <si>
    <t>Proceedings of the 28th Conference on Winter Simulation</t>
  </si>
  <si>
    <t>Visual modeling of business problems: workflow and patterns</t>
  </si>
  <si>
    <t>Virine, Lev; McVean, Jason</t>
  </si>
  <si>
    <t>Proceedings of the 36th Conference on Winter Simulation</t>
  </si>
  <si>
    <t>Invited research overview: end-user programming</t>
  </si>
  <si>
    <t>Myers, Brad A.; Ko, Amy J.; Burnett, Margaret M.</t>
  </si>
  <si>
    <t>CHI '06 Extended Abstracts on Human Factors in Computing Systems</t>
  </si>
  <si>
    <t>SIMPROCESS III: object-oriented business process simulation</t>
  </si>
  <si>
    <t>Jones, Jeffry</t>
  </si>
  <si>
    <t>Proceedings of the 27th Conference on Winter Simulation</t>
  </si>
  <si>
    <t>Simulation and analysis of business processes using GOLOG</t>
  </si>
  <si>
    <t>Plexousakis, Dimitris</t>
  </si>
  <si>
    <t>Proceedings of Conference on Organizational Computing Systems</t>
  </si>
  <si>
    <t>Poll, Rouven; Polyvyanyy, Artem; Rosemann, Michael; Röglinger, Maximilian; Rupprecht, Lea</t>
  </si>
  <si>
    <t>Business Process Management</t>
  </si>
  <si>
    <t>?</t>
  </si>
  <si>
    <t>N</t>
  </si>
  <si>
    <t>Consider for discussion!</t>
  </si>
  <si>
    <t>Learning business process simulation models: A hybrid process mining and deep learning approach</t>
  </si>
  <si>
    <t>Camargo, Manuel; Báron, Daniel; Dumas, Marlon; González-Rojas, Oscar</t>
  </si>
  <si>
    <t>Simulating business processes for descriptive, predictive, and prescriptive analytics</t>
  </si>
  <si>
    <t>Greasley, Andrew</t>
  </si>
  <si>
    <t>The digital twin of the business process model</t>
  </si>
  <si>
    <t>Dorrer, M. G.</t>
  </si>
  <si>
    <t>Journal of Physics: Conference Series</t>
  </si>
  <si>
    <t>Process mining for digital twin development of industrial cyber-physical systems</t>
  </si>
  <si>
    <t>Vitale, Francesco; Guarino, Simone; Flammini, Francesco; Faramondi, Luca; Mazzocca, Nicola; Setola, Roberto</t>
  </si>
  <si>
    <t>IEEE Transactions on Industrial Informatics</t>
  </si>
  <si>
    <t>Learning Accurate Business Process Simulation Models from Event Logs via Automated Process Discovery and Deep Learning</t>
  </si>
  <si>
    <t>Camargo, Manuel; Dumas, Marlon; González-Rojas, Oscar</t>
  </si>
  <si>
    <t>Advanced Information Systems Engineering</t>
  </si>
  <si>
    <t>Process prediction with digital twins</t>
  </si>
  <si>
    <t>Brockhoff, Tobias; Heithoff, Malte; Koren, István; Michael, Judith; Pfeiffer, Jérôme; Rumpe, Bernhard; Uysal, Merih Seran; Van Der Aalst, Wil MP; Wortmann, Andreas</t>
  </si>
  <si>
    <t>2021 ACM/IEEE International Conference on Model Driven Engineering Languages and Systems Companion (MODELS-C)</t>
  </si>
  <si>
    <t>Forecasting e-Learning Processes Using GERT Models and Process Mining Tools</t>
  </si>
  <si>
    <t>Dorrer, M.; Dorrer, A.</t>
  </si>
  <si>
    <t>Proceeding of the International Science and Technology Conference "FarEastСon 2019"</t>
  </si>
  <si>
    <t>Discovering system dynamics simulation models using process mining</t>
  </si>
  <si>
    <t>Pourbafrani, Mahsa; van Der Aalst, Wil MP</t>
  </si>
  <si>
    <t>https://ieeexplore.ieee.org/abstract/document/9837907</t>
  </si>
  <si>
    <t>prediction is used to discover and parameterize causal equations from historical data, while simulation uses those equations to explore future scenarios and system dynamics</t>
  </si>
  <si>
    <t>Is the simulation done solely by the prediction od the SD models? Hence, is category 2 better applicable than category 1</t>
  </si>
  <si>
    <t>Check for Synergy</t>
  </si>
  <si>
    <t>Prescriptive Control of Business Processes: New Potentials Through Predictive Analytics of Big Data in the Process Manufacturing Industry</t>
  </si>
  <si>
    <t>Krumeich, Julian; Werth, Dirk; Loos, Peter</t>
  </si>
  <si>
    <t>Business &amp; Information Systems Engineering</t>
  </si>
  <si>
    <t>Scenario-Based Prediction of Business Processes Using System Dynamics</t>
  </si>
  <si>
    <t>Pourbafrani, Mahsa; Van Zelst, Sebastiaan J.; Van Der Aalst, Wil M. P.</t>
  </si>
  <si>
    <t>On the Move to Meaningful Internet Systems: OTM 2019 Conferences</t>
  </si>
  <si>
    <t>2(?)</t>
  </si>
  <si>
    <t>Business process performance prediction on a tracked simulation model</t>
  </si>
  <si>
    <t>Solomon, Andrei; Litoiu, Marin</t>
  </si>
  <si>
    <t>Proceedings of the 3rd International Workshop on Principles of Engineering Service-Oriented Systems</t>
  </si>
  <si>
    <t>https://dl.acm.org/doi/abs/10.1145/1985394.1985402</t>
  </si>
  <si>
    <t>Predict performance</t>
  </si>
  <si>
    <t>Predict performance of a system</t>
  </si>
  <si>
    <t>statistical prediction is used to forecast internal process parameters, and simulation is used to transform those predictions into KPI-level forecasts by exploiting process structure and metric correlations
However, they also propose variations of their methods (Fig 4b), where simulation is used as an input to a linear regression (prediction model) in order to predict the KPIs</t>
  </si>
  <si>
    <t>A BIM-data mining integrated digital twin framework for advanced project management</t>
  </si>
  <si>
    <t>Pan, Yue; Zhang, Limao</t>
  </si>
  <si>
    <t>Automation in Construction</t>
  </si>
  <si>
    <t>Chapela-Campa, David; Dumas, Marlon</t>
  </si>
  <si>
    <t>A digital twin framework for business transactional processes in supply chains</t>
  </si>
  <si>
    <t>Perez, Hector D.; Amaran, Satyajith; Erisen, Esra; Wassick, John M.; Grossmann, Ignacio E.</t>
  </si>
  <si>
    <t>Computer aided chemical engineering</t>
  </si>
  <si>
    <t>A discrete event simulation-based methodology for building a digital twin of patient pathways in the hospital for near real-time monitoring and predictive simulation</t>
  </si>
  <si>
    <t>Karakra, Abdallah; Fontanili, Franck; Lamine, Elyes; Lamothe, Jacques</t>
  </si>
  <si>
    <t>Digital Twin</t>
  </si>
  <si>
    <t>Near real-time digital twin for operational monitoring + proactive short-horizon what-if/prediction of patient flows.</t>
  </si>
  <si>
    <t>Towards IoT-driven predictive business process analytics</t>
  </si>
  <si>
    <t>Elhami, Erfan; Ansari, Abolfazl; Farahani, Bahar; Aliee, Fereidoon Shams</t>
  </si>
  <si>
    <t>2020 international conference on omni-layer intelligent systems (COINS)</t>
  </si>
  <si>
    <t>Process Mining in Action: Principles, Use Cases and Outlook</t>
  </si>
  <si>
    <t>Predictive monitoring of business processes: a survey</t>
  </si>
  <si>
    <t>Márquez-Chamorro, Alfonso Eduardo; Resinas, Manuel; Ruiz-Cortés, Antonio</t>
  </si>
  <si>
    <t>IEEE Transactions on Services Computing</t>
  </si>
  <si>
    <t>Business Process Analytics</t>
  </si>
  <si>
    <t>Zur Muehlen, Michael; Shapiro, Robert</t>
  </si>
  <si>
    <t>Handbook on Business Process Management 2</t>
  </si>
  <si>
    <t>Weinzierl, Sven; Dunzer, Sebastian; Zilker, Sandra; Matzner, Martin</t>
  </si>
  <si>
    <t>https://arxiv.org/pdf/2008.08693</t>
  </si>
  <si>
    <t>Prescribe next best activity</t>
  </si>
  <si>
    <t>Prescribe action</t>
  </si>
  <si>
    <t>Combines PPM and BPS to recommend the best next activity w.r.t a KPI.
Simulation as a tool to facilitate that predictions can be used in a meaningful prescriptive way.</t>
  </si>
  <si>
    <t>Towards Planning and Control of Business Processes Based on Event-Based Predictions</t>
  </si>
  <si>
    <t>Krumeich, Julian; Jacobi, Sven; Werth, Dirk; Loos, Peter</t>
  </si>
  <si>
    <t>Business Information Systems</t>
  </si>
  <si>
    <t>Integrating process mining with discrete-event simulation for dynamic productivity estimation in heavy civil construction operations</t>
  </si>
  <si>
    <t>Rashid, Khandakar M.; Louis, Joseph</t>
  </si>
  <si>
    <t>Algorithms</t>
  </si>
  <si>
    <t>https://www.mdpi.com/1999-4893/15/5/173</t>
  </si>
  <si>
    <t>Simulate process</t>
  </si>
  <si>
    <t>S3, S4</t>
  </si>
  <si>
    <t>Utilizes process mining and Bayesian updating to calibrate a predictive DES model in an online setting</t>
  </si>
  <si>
    <t>Comparing and combining predictive business process monitoring techniques</t>
  </si>
  <si>
    <t>Metzger, Andreas; Leitner, Philipp; Ivanović, Dragan; Schmieders, Eric; Franklin, Rod; Carro, Manuel; Dustdar, Schahram; Pohl, Klaus</t>
  </si>
  <si>
    <t>IEEE Transactions on Systems, Man, and Cybernetics: Systems</t>
  </si>
  <si>
    <t>AI-Enhanced Process Mining in Business Analysis: Driving Operational Excellence by Smart Insights</t>
  </si>
  <si>
    <t>Abdul Azeem, Mohammed; Md Abul Kalam, Azad; Md, Rakibuzzaman</t>
  </si>
  <si>
    <t>American Journal of Engineering, Mechanics and Architecture</t>
  </si>
  <si>
    <t>A State of the Art of Digital Twin and Simulation Supported by Data Mining in the Healthcare Sector</t>
  </si>
  <si>
    <t>Patrone Carlotta; Galli Gabriele; Revetria Roberto</t>
  </si>
  <si>
    <t>Frontiers in Artificial Intelligence and Applications</t>
  </si>
  <si>
    <t>Predictive Analytics for Semi-structured Case Oriented Business Processes</t>
  </si>
  <si>
    <t>Lakshmanan, Geetika T.; Duan, Songyun; Keyser, Paul T.; Curbera, Francisco; Khalaf, Rania</t>
  </si>
  <si>
    <t>Business Process Management Workshops</t>
  </si>
  <si>
    <t>Big data analytics for predictive manufacturing control-a case study from process industry</t>
  </si>
  <si>
    <t>2014 IEEE international congress on big data</t>
  </si>
  <si>
    <t>Rethinking Business Process Simulation: A Utility-Based Evaluation Framework</t>
  </si>
  <si>
    <t>Özdemir, Konrad; Kirchdorfer, Lukas; Elyasi, Keyvan Amiri; Aa, Han Van Der; Stuckenschmidt, Heiner</t>
  </si>
  <si>
    <t>Business Process Management Forum</t>
  </si>
  <si>
    <t>https://arxiv.org/pdf/2505.22316</t>
  </si>
  <si>
    <t>Utilized PPM to evaluate the utility of BPS models</t>
  </si>
  <si>
    <t>Ceravolo, Paolo; Comuzzi, Marco; De Weerdt, Jochen; Di Francescomarino, Chiara; Maggi, Fabrizio Maria</t>
  </si>
  <si>
    <t>Refers to the possibility of using BPS to generate data and resolve the problem of data scarcity for PPM</t>
  </si>
  <si>
    <t>While it is not directly related! we should mention it because it is an "Expert Voice" in how BPS can be useful for PPM.   &lt;-&gt; similat to 151 and 164</t>
  </si>
  <si>
    <t>Business Process Simulation Survival Guide</t>
  </si>
  <si>
    <t>Van Der Aalst, Wil M. P.</t>
  </si>
  <si>
    <t>Handbook on Business Process Management 1</t>
  </si>
  <si>
    <t>Enhancing discrete-event simulation with big data analytics: A review</t>
  </si>
  <si>
    <t>Greasley, Andrew; Edwards, John Steven</t>
  </si>
  <si>
    <t>Journal of the Operational Research Society</t>
  </si>
  <si>
    <t>Maturity model for applying process mining in supply chains: Literature overview and practical implications</t>
  </si>
  <si>
    <t>Jacobi, Christoph; Meier, Mathias; Herborn, Lutz; Furmans, Kai</t>
  </si>
  <si>
    <t>Logistics Journal: Proceedings</t>
  </si>
  <si>
    <t>Comprehensible predictive models for business processes</t>
  </si>
  <si>
    <t>Breuker, Dominic; Matzner, Martin; Delfmann, Patrick; Becker, Jörg</t>
  </si>
  <si>
    <t>Mis Quarterly</t>
  </si>
  <si>
    <t>Behavioral and performance analysis of a real-time case study event log: A process mining approach</t>
  </si>
  <si>
    <t>Butt, Naveed Anwer; Mahmood, Zafar; Sana, Muhammad Usman; Díez, Isabel de la Torre; Galán, Juan Castanedo; Brie, Santiago; Ashraf, Imran</t>
  </si>
  <si>
    <t>Applied sciences</t>
  </si>
  <si>
    <t>Business process modeling, simulation and design</t>
  </si>
  <si>
    <t>Laguna, Manuel; Marklund, Johan</t>
  </si>
  <si>
    <t>AI-Powered ERP Process Mining and Optimization Techniques for Agile Enterprise Transformation</t>
  </si>
  <si>
    <t>Nittala, Emmanuel Philip</t>
  </si>
  <si>
    <t>American International Journal of Computer Science and Technology</t>
  </si>
  <si>
    <t>S3</t>
  </si>
  <si>
    <t>Closed-loop “observe → predict → test in digital twin → automate” for ERP agility.</t>
  </si>
  <si>
    <t>(Bullet point paper)</t>
  </si>
  <si>
    <t>Process mining as support to simulation modeling: A hospital-based case study</t>
  </si>
  <si>
    <t>Tamburis, Oscar; Esposito, Christian</t>
  </si>
  <si>
    <t>Simulation Modelling Practice and Theory</t>
  </si>
  <si>
    <t>Using Bayesian belief network and time-series model to conduct prescriptive and predictive analytics for computer industries</t>
  </si>
  <si>
    <t>Wang, Chih-Hsuan; Cheng, Hou-Yu; Deng, Yu-Ting</t>
  </si>
  <si>
    <t>Computers &amp; Industrial Engineering</t>
  </si>
  <si>
    <t>A process mining framework for analysing students’ behaviours using digital twin</t>
  </si>
  <si>
    <t>Azeta, Ambrose; Agono, Frank; Adesola, Falade; Nwaocha, Vivian; Tjiraso, Steven</t>
  </si>
  <si>
    <t>Available at SSRN 4331450</t>
  </si>
  <si>
    <t>Time prediction based on process mining</t>
  </si>
  <si>
    <t>Van der Aalst, Wil MP; Schonenberg, M. Helen; Song, Minseok</t>
  </si>
  <si>
    <t>Information systems</t>
  </si>
  <si>
    <t>Modeling &amp; simulation in business process management</t>
  </si>
  <si>
    <t>Barnett, M. W.</t>
  </si>
  <si>
    <t>Gensym Corporation</t>
  </si>
  <si>
    <t>Business process modelling and simulation: advantages and disadvantages</t>
  </si>
  <si>
    <t>Grikštaitė, Jūratė</t>
  </si>
  <si>
    <t>Global Academic Society Journal: Social Science Insight</t>
  </si>
  <si>
    <t>A smart framework to perform a criticality analysis in industrial maintenance using combined MCDM methods and process mining techniques</t>
  </si>
  <si>
    <t>Dos Santos, Cleiton Ferreira; Loures, Eduardo De Freitas Rocha; Santos, Eduardo Alves Portela</t>
  </si>
  <si>
    <t>The International Journal of Advanced Manufacturing Technology</t>
  </si>
  <si>
    <t>Process mining for dynamic modeling of smart manufacturing systems: data requirements</t>
  </si>
  <si>
    <t>Friederich, Jonas; Lugaresi, Giovanni; Lazarova-Molnar, Sanja; Matta, Andrea</t>
  </si>
  <si>
    <t>Procedia CIRP</t>
  </si>
  <si>
    <t>Digital twin simulations applied to financial risk management for scenario modeling and predictive forecasting</t>
  </si>
  <si>
    <t>Adesanya, Olaolu Samuel; Akinola, Akindamola Samuel; Oyeniyi, Lawrence Damilare</t>
  </si>
  <si>
    <t>J Digit Finance</t>
  </si>
  <si>
    <t>Data-driven dynamic causality analysis of industrial systems using interpretable machine learning and process mining</t>
  </si>
  <si>
    <t>Nadim, Karim; Ragab, Ahmed; Ouali, Mohamed-Salah</t>
  </si>
  <si>
    <t>Journal of Intelligent Manufacturing</t>
  </si>
  <si>
    <t>Machine learning and process mining applied to process optimization: Bibliometric and systemic analysis</t>
  </si>
  <si>
    <t>Fernandes, Ederson Carvalhar; Fitzgerald, Barry; Brown, Liam; Borsato, Milton</t>
  </si>
  <si>
    <t>Procedia Manufacturing</t>
  </si>
  <si>
    <t>Supporting Automatic System Dynamics Model Generation for Simulation in the Context of Process Mining</t>
  </si>
  <si>
    <t>Designing and implementing a framework for event-based predictive modelling of business processes</t>
  </si>
  <si>
    <t>Becker, Jörg; Breuker, Dominic; Delfmann, Patrick; Matzner, Martin</t>
  </si>
  <si>
    <t>Enterprise modelling and information systems architectures-EMISA 2014</t>
  </si>
  <si>
    <t>Conversational Systems for AI-Augmented Business Process Management</t>
  </si>
  <si>
    <t>Casciani, Angelo; Bernardi, Mario L.; Cimitile, Marta; Marrella, Andrea</t>
  </si>
  <si>
    <t>Research Challenges in Information Science</t>
  </si>
  <si>
    <t>A digital life-cycle management framework for sustainable smart manufacturing in energy intensive industries</t>
  </si>
  <si>
    <t>Chinnathai, Malarvizhi Kaniappan; Alkan, Bugra</t>
  </si>
  <si>
    <t>Journal of Cleaner Production</t>
  </si>
  <si>
    <t>https://www.sciencedirect.com/science/article/pii/S0959652623024174</t>
  </si>
  <si>
    <t>Predict energy consumption</t>
  </si>
  <si>
    <t>DES estimates machine-level energy/utilisation and supports what-if analysis, and AI (LSTM) forecasts energy consumption</t>
  </si>
  <si>
    <t>Proactive Supply Chain Performance Management with Predictive Analytics</t>
  </si>
  <si>
    <t>Stefanovic, Nenad</t>
  </si>
  <si>
    <t>The Scientific World Journal</t>
  </si>
  <si>
    <t>A test-bed for the evaluation of business process prediction techniques</t>
  </si>
  <si>
    <t>Pandey, Suraj; Nepal, Surya; Chen, Shiping</t>
  </si>
  <si>
    <t>7th international conference on collaborative computing: networking, applications and worksharing (CollaborateCom)</t>
  </si>
  <si>
    <t>Managing change with business process simulation</t>
  </si>
  <si>
    <t>Profozich, David</t>
  </si>
  <si>
    <t>Benefits of integrated business planning, forecasting, and process management</t>
  </si>
  <si>
    <t>Pal Singh Toor, Tajinder; Dhir, Teena</t>
  </si>
  <si>
    <t>Business Strategy Series</t>
  </si>
  <si>
    <t>Business Process Simulation for Operational Decision Support</t>
  </si>
  <si>
    <t>Wynn, Moe Thandar; Dumas, Marlon; Fidge, Colin J.; Ter Hofstede, Arthur H. M.; Van Der Aalst, Wil M. P.</t>
  </si>
  <si>
    <t>Evaluation of supply chain business process improvements using simulation</t>
  </si>
  <si>
    <t>Jain, Sanjay; Ervin, Eric</t>
  </si>
  <si>
    <t>International Journal of Simulation and Process Modelling</t>
  </si>
  <si>
    <t>Introduction of electronic documents: how business process simulation can help</t>
  </si>
  <si>
    <t>Leyer, Michael; Hollmann, Maximilian</t>
  </si>
  <si>
    <t>Business Process Management Journal</t>
  </si>
  <si>
    <t>Digital twin implementation approach in supply chain processes</t>
  </si>
  <si>
    <t>Abouzid, Ihsane; Saidi, Rajaa</t>
  </si>
  <si>
    <t>Scientific African</t>
  </si>
  <si>
    <t>Text-Aware Predictive Monitoring of Business Processes</t>
  </si>
  <si>
    <t>Pegoraro, Marco; Uysal, Merih Seran; Georgi, David Benedikt; Aalst, Wil M. P. van der</t>
  </si>
  <si>
    <t>Predictive Security Analysis for Event-Driven Processes</t>
  </si>
  <si>
    <t>Rieke, Roland; Stoynova, Zaharina</t>
  </si>
  <si>
    <t>Computer Network Security</t>
  </si>
  <si>
    <t>https://link.springer.com/chapter/10.1007/978-3-642-14706-7_25</t>
  </si>
  <si>
    <t>Predict security events</t>
  </si>
  <si>
    <t>Predict security violations before they happen by combining runtime event monitoring with formal-model simulation/reachability.</t>
  </si>
  <si>
    <t>Panel discussion on the role of modeling and simulation in business process reengineering</t>
  </si>
  <si>
    <t>Levas, Anthony; Jain, Pramod; Boyd, Stowe; Tulskie, William A.</t>
  </si>
  <si>
    <t>Winter Simulation Conference Proceedings, 1995.</t>
  </si>
  <si>
    <t>The prototype of the organizational maturity model’s digital twin of an educational institution</t>
  </si>
  <si>
    <t>Runtime integration of machine learning and simulation for business processes</t>
  </si>
  <si>
    <t>Meneghello, Francesca; Di Francescomarino, Chiara; Ghidini, Chiara</t>
  </si>
  <si>
    <t>2023 5th International Conference on Process Mining (ICPM)</t>
  </si>
  <si>
    <t>Adding DL-predicted times during the DES run (not after the whole trace is simulated like post-integration/Dsim) yields better queue ordering and improves simulation quality (MAE/EMD) across logs</t>
  </si>
  <si>
    <t>Process mining for healthcare decision analytics with micro-costing estimations</t>
  </si>
  <si>
    <t>Leemans, Sander JJ; Partington, Andrew; Karnon, Jonathan; Wynn, Moe T.</t>
  </si>
  <si>
    <t>Artificial Intelligence in Medicine</t>
  </si>
  <si>
    <t>A simulation-based tool for inventory analysis in a server computer manufacturing environment</t>
  </si>
  <si>
    <t>Cao; Cheng; Ettl; Buckley; Rodriguez</t>
  </si>
  <si>
    <t>The rise of hyperautomation: a new frontier for business process automation</t>
  </si>
  <si>
    <t>George, A. Shaji; George, AS Hovan; Baskar, T.; Sujatha, V.</t>
  </si>
  <si>
    <t>Partners Universal International Research Journal</t>
  </si>
  <si>
    <t>Using business-process simulation within a business-process reengineering approach</t>
  </si>
  <si>
    <t>Beyond process monitoring: a proof-of-concept of event-driven business activity management</t>
  </si>
  <si>
    <t>Janiesch, Christian; Matzner, Martin; Müller, Oliver</t>
  </si>
  <si>
    <t>Business process modelling and analysis using discrete-event simulation</t>
  </si>
  <si>
    <t>Hlupic, Vlatka; Robinson, Stewart</t>
  </si>
  <si>
    <t>1998 Winter Simulation Conference. Proceedings (Cat. No. 98CH36274)</t>
  </si>
  <si>
    <t>Learning Accurate LSTM Models of Business Processes</t>
  </si>
  <si>
    <t>https://link.springer.com/chapter/10.1007/978-3-030-26619-6_19</t>
  </si>
  <si>
    <t>Simulate process / "Predict the next event, timestamp, and role"</t>
  </si>
  <si>
    <t>Using LSTM in a generative way for simulation</t>
  </si>
  <si>
    <t>Business process simulation game as a business process learning tool for retail companies</t>
  </si>
  <si>
    <t>Joella, Joella; Yulia, Yulia; Handojo, Andreas</t>
  </si>
  <si>
    <t>International Journal of Industrial Research and Applied Engineering</t>
  </si>
  <si>
    <t>Concurrency and Objects Matter! Disentangling the Fabric of Real Operational Processes to Create Digital Twins</t>
  </si>
  <si>
    <t>Theoretical Aspects of Computing – ICTAC 2021</t>
  </si>
  <si>
    <t>Digital twin-based virtual factory and cyber-physical production systems, collaborative autonomous robotic and networked manufacturing technologies, and enterprise and business intelligence algorithms for industrial metaverse</t>
  </si>
  <si>
    <t>Stefko, Robert; Frajtova-Michalikova, Katarina; Strakova, Jarmila; Novak, Andrej</t>
  </si>
  <si>
    <t>Equilibrium. Quarterly Journal of Economics and Economic Policy</t>
  </si>
  <si>
    <t>A Simulation-driven Approach in Risk-aware Business Process Management: A Case Study in Healthcare.</t>
  </si>
  <si>
    <t>Amantea, Ilaria Angela; Di Leva, Antonio; Sulis, Emilio</t>
  </si>
  <si>
    <t>SIMULTECH</t>
  </si>
  <si>
    <t>Using Physical Factory Simulation Models for Business Process Management Research</t>
  </si>
  <si>
    <t>Malburg, Lukas; Seiger, Ronny; Bergmann, Ralph; Weber, Barbara</t>
  </si>
  <si>
    <t>Enhancing organizational business process perception: Experiences from constructing and applying a dynamic business simulation game</t>
  </si>
  <si>
    <t>Lainema, Timo</t>
  </si>
  <si>
    <t>Applications of business process simulation and lean techniques in British Telecommunications PLC</t>
  </si>
  <si>
    <t>Dennis, Simon; King, Ben; Hind, Martin; Robinson, Stewart</t>
  </si>
  <si>
    <t>2000 Winter Simulation Conference Proceedings (Cat. No. 00CH37165)</t>
  </si>
  <si>
    <t>Improving processing efficiency through workflow process reengineering, simulation and value stream mapping: a case study of business process reengineering</t>
  </si>
  <si>
    <t>Wang, Chia-Nan; Vo, Tran Thi Bich Chau; Hsu, Hsien-Pin; Chung, Yu-Chi; Nguyen, Nhut Tien; Nhieu, Nhat-Luong</t>
  </si>
  <si>
    <t>Simulation in manufacturing and business: A review</t>
  </si>
  <si>
    <t>Jahangirian, Mohsen; Eldabi, Tillal; Naseer, Aisha; Stergioulas, Lampros K.; Young, Terry</t>
  </si>
  <si>
    <t>European journal of operational research</t>
  </si>
  <si>
    <t>Simulation of patient flow in multiple healthcare units using process and data mining techniques for model identification</t>
  </si>
  <si>
    <t>Kovalchuk, Sergey V.; Funkner, Anastasia A.; Metsker, Oleg G.; Yakovlev, Aleksey N.</t>
  </si>
  <si>
    <t>Journal of biomedical informatics</t>
  </si>
  <si>
    <t>Handling diversity of clinical pathways via clustering/classification, then using those classes inside DES to better match observed length-of-stay distributions and enable scenario analysis of resources/queues</t>
  </si>
  <si>
    <t>Data-driven identification and analysis of waiting times in business processes</t>
  </si>
  <si>
    <t>Ali, Muhammad Awais; Milani, Fredrik; Dumas, Marlon</t>
  </si>
  <si>
    <t>Supply chain reengineering using a core process analysis matrix and object-oriented simulation</t>
  </si>
  <si>
    <t>Changchien, S. Wesley; Shen, Hsiao-Yun</t>
  </si>
  <si>
    <t>Information &amp; Management</t>
  </si>
  <si>
    <t>Simulation on demand: using SIMPROCESS in an SOA environment</t>
  </si>
  <si>
    <t>DeFee, Joseph M.</t>
  </si>
  <si>
    <t>Proceedings of the CACI</t>
  </si>
  <si>
    <t>Integrating human factors into discrete event simulation: a proactive approach to simultaneously design for system performance and employees’ well being</t>
  </si>
  <si>
    <t>Dode, Petrit (Pete); Greig, Michael; Zolfaghari, Saeed; Neumann, W. Patrick</t>
  </si>
  <si>
    <t>International Journal of Production Research</t>
  </si>
  <si>
    <t>Intelligent autonomous vehicles in digital supply chains: From conceptualisation, to simulation modelling, to real-world operations</t>
  </si>
  <si>
    <t>Tsolakis, Naoum; Bechtsis, Dimitrios; Srai, Jagjit Singh</t>
  </si>
  <si>
    <t>Business process improvement with the AB-BPM methodology</t>
  </si>
  <si>
    <t>Satyal, Suhrid; Weber, Ingo; Paik, Hye-young; Di Ciccio, Claudio; Mendling, Jan</t>
  </si>
  <si>
    <t>Supporting Decisions in Production Line Processes by Combining Process Mining and System Dynamics</t>
  </si>
  <si>
    <t>Intelligent Human Systems Integration 2020</t>
  </si>
  <si>
    <t>An extended model for remaining time prediction in manufacturing systems using process mining</t>
  </si>
  <si>
    <t>Choueiri, Alexandre Checoli; Sato, Denise Maria Vecino; Scalabrin, Edson Emilio; Santos, Eduardo Alves Portela</t>
  </si>
  <si>
    <t>Journal of Manufacturing Systems</t>
  </si>
  <si>
    <t>Establishment of maintenance inspection intervals: an application of process mining techniques in manufacturing</t>
  </si>
  <si>
    <t>Ruschel, Edson; Santos, Eduardo Alves Portela; Loures, Eduardo De Freitas Rocha</t>
  </si>
  <si>
    <t>https://link.springer.com/article/10.1007/s10845-018-1434-7</t>
  </si>
  <si>
    <t>Predict equipment uptime</t>
  </si>
  <si>
    <t>S5</t>
  </si>
  <si>
    <t>Simulation as a means to test out forecasting under different conditions</t>
  </si>
  <si>
    <t>Integrating process mining with discrete-event simulation modeling</t>
  </si>
  <si>
    <t>Liu, Siyao Tony</t>
  </si>
  <si>
    <t>A socio-technical approach to business process simulation</t>
  </si>
  <si>
    <t>Gregoriades, Andreas; Sutcliffe, Alistair</t>
  </si>
  <si>
    <t>Decision Support Systems</t>
  </si>
  <si>
    <t xml:space="preserve">Lukas Kirchdorfer, Robert Blümel, Timotheus Kampik, Han van der Aa, Heiner Stuckenschmidt </t>
  </si>
  <si>
    <t>What-if analysis with predictive models as resource behavior estimators (determining next activity and next resource in a running case)</t>
  </si>
  <si>
    <t xml:space="preserve">Rafael Seidi Oyamada, Gabriel Marques Tavares, Sylvio Barbon Junior &amp; Paolo Ceravolo </t>
  </si>
  <si>
    <t>BPM</t>
  </si>
  <si>
    <t>https://link.springer.com/chapter/10.1007/978-3-031-70396-6_19</t>
  </si>
  <si>
    <t>Using RNN in a generative way for simulation</t>
  </si>
  <si>
    <t>ML models are updated in a streaming fashion to adapt the simulation model to changing process behavior</t>
  </si>
  <si>
    <t>Discovery and simulation of data-aware business processes</t>
  </si>
  <si>
    <t>Lòpez-Pintado, Orlenys and Murashko, Serhii and Dumas, Marlon</t>
  </si>
  <si>
    <t>https://ieeexplore.ieee.org/document/10680675?denied=</t>
  </si>
  <si>
    <t>Prediction of data attributes for the simulation</t>
  </si>
  <si>
    <t>SimBank: From Simulation to Solution in Prescriptive Process Monitoring</t>
  </si>
  <si>
    <t>Jakob De Moor, Hans Weytjens, Johannes De Smedt, Jochen De Weerdt</t>
  </si>
  <si>
    <t>https://link.springer.com/chapter/10.1007/978-3-032-02929-4_10</t>
  </si>
  <si>
    <t>Simulate process for PresPM benchmarking</t>
  </si>
  <si>
    <t>S5, S1</t>
  </si>
  <si>
    <t>Developing a business process simulation environment to generate controlled event logs and counterfactual outcomes for training, comparing, and accurately evaluating prescriptive process monitoring methods.</t>
  </si>
  <si>
    <t>Reliable and Configurable Process Simulations  via Probabilistic White-Box Models</t>
  </si>
  <si>
    <t>Service-Oriented Computing</t>
  </si>
  <si>
    <t>https://link.springer.com/chapter/10.1007/978-981-95-5015-9_24</t>
  </si>
  <si>
    <t>Learning interpretable predictive models from event logs to parameterize and drive realistic, configurable business process simulations for what-if analysis.</t>
  </si>
  <si>
    <t>Designing care pathways using simulation modeling and machine learning</t>
  </si>
  <si>
    <t>Elbattah Mahmoud, Owen Molloy, and Bernard P. Zeigler</t>
  </si>
  <si>
    <t>https://ieeexplore.ieee.org/abstract/document/8632360</t>
  </si>
  <si>
    <t>Simulate care parthways</t>
  </si>
  <si>
    <t>ML-assisted design and configuration of care pathway process simulation models to evaluate coordination strategies and ROI in healthcare processes.</t>
  </si>
  <si>
    <t>ProCause: Generating Counterfactual Outcomes to Evaluate Prescriptive Process Monitoring Methods</t>
  </si>
  <si>
    <t>Jakob De Moor, Hans Weytjens, Johannes De Smedt</t>
  </si>
  <si>
    <t>https://ieeexplore.ieee.org/abstract/document/11220278</t>
  </si>
  <si>
    <t>Generate counterfactual outcomes for PresPM evaluation</t>
  </si>
  <si>
    <t>Simulation-grounded evaluation of prescriptive process monitoring methods using generative causal models for counterfactual outcome estimation.</t>
  </si>
  <si>
    <t>Experience-Based Resource Allocation for Remaining Time Optimization</t>
  </si>
  <si>
    <t>Alessandro Padella, Felix Mannhardt, Francesco Vinci, Massimiliano de Leoni, Irene Vanderfeesten</t>
  </si>
  <si>
    <t>https://link.springer.com/chapter/10.1007/978-3-031-70396-6_20</t>
  </si>
  <si>
    <t>Prescribe next best activity and resource</t>
  </si>
  <si>
    <t>Simulate effects of resource allocation decisions</t>
  </si>
  <si>
    <t>Prescriptive process monitoring for resource allocation with ML-based remaining-time prediction, evaluated via business process simulation.</t>
  </si>
  <si>
    <t>Investigating the Influence of Data-Aware Process States on Activity Probabilities in Simulation Models: Does Accuracy Improve?</t>
  </si>
  <si>
    <t>Massimiliano de Leoni, Francesco Vinci, Sander J. J. Leemans, Felix Mannhardt</t>
  </si>
  <si>
    <t>https://link.springer.com/chapter/10.1007/978-3-031-41620-0_8</t>
  </si>
  <si>
    <t>Improving business process simulation accuracy by learning state-dependent transition probabilities using ML models derived from event logs.</t>
  </si>
  <si>
    <t>Optimizing Resource Allocation Policies in Real-World Business Processes Using Hybrid Process Simulation and Deep Reinforcement Learning</t>
  </si>
  <si>
    <t>Francesca Meneghello, Jeroen Middelhuis, Laura Genga, Zaharah Bukhsh, Massimiliano Ronzani, Chiara Di Francescomarino, Chiara Ghidini, Remco Dijkman</t>
  </si>
  <si>
    <t>https://link.springer.com/chapter/10.1007/978-3-031-70396-6_10</t>
  </si>
  <si>
    <t>Optimize process</t>
  </si>
  <si>
    <t>Optimize resource allocation</t>
  </si>
  <si>
    <t>Learning optimal resource allocation policies through deep reinforcement learning interacting with hybrid ML-enhanced business process simulation.</t>
  </si>
  <si>
    <t xml:space="preserve"> (formally S4)</t>
  </si>
  <si>
    <t>Design of a Patient-Centered Appointment Scheduling with Artificial Neural Network and Discrete Event Simulation</t>
  </si>
  <si>
    <t>Wen-Jen Chang, Yen-Hsiang Chang</t>
  </si>
  <si>
    <t>Journal of Service Science and Management</t>
  </si>
  <si>
    <t>https://www.scirp.org/journal/paperinformation?paperid=82466</t>
  </si>
  <si>
    <t>Improve appointment scheduling system</t>
  </si>
  <si>
    <t>On the use of artificial neural networks in simulation-based manufacturing control</t>
  </si>
  <si>
    <t>S Bergmann, S Stelzer and S Strassburger</t>
  </si>
  <si>
    <t>Journal of Simulation</t>
  </si>
  <si>
    <t>https://link.springer.com/article/10.1057/jos.2013.6</t>
  </si>
  <si>
    <t>Generating multiperspective process traces using conditional variational autoencoders</t>
  </si>
  <si>
    <t>Riccardo Graziosi, Massimiliano Ronzani, Andrei Buliga, Chiara Di Francescomarino, Francesco Folino, Chiara Ghidini, Francesca Meneghello and Luigi Pontieri</t>
  </si>
  <si>
    <t>Using CVAEs in a generative way to create process data / simulate the process</t>
  </si>
  <si>
    <t>Enhanced What-If Scenarios Generation by Bridging Generative Models and Process Simulation</t>
  </si>
  <si>
    <t>Andrei Buliga, Francesca Meneghello, Riccardo Graziosi, Massimiliano Ronzani</t>
  </si>
  <si>
    <t>WISDOM represents a hybrid approach that combines predictive-monitoring-derived generative trace models with business process simulation by replaying generated traces within a BPS engine to restore inter-trace dependencies, thereby bridging predictive generation and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</si>
</sst>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
    <numFmt numFmtId="166" formatCode="yyyy\-mm"/>
  </numFmts>
  <fonts count="12">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
      <b/>
      <sz val="10"/>
      <color rgb="FF000000"/>
      <name val="Helvetica Neue"/>
    </font>
    <font>
      <sz val="10"/>
      <color rgb="FF000000"/>
      <name val="Helvetica Neue"/>
    </font>
    <font>
      <sz val="10"/>
      <color rgb="FF000000"/>
      <name val="Arial"/>
      <scheme val="minor"/>
    </font>
    <font>
      <sz val="10"/>
      <color rgb="FF000000"/>
      <name val="Arial"/>
    </font>
    <font>
      <u/>
      <sz val="10"/>
      <color rgb="FF000000"/>
      <name val="Arial"/>
    </font>
    <font>
      <u/>
      <sz val="10"/>
      <color rgb="FF0000FF"/>
      <name val="Arial"/>
    </font>
    <font>
      <u/>
      <sz val="10"/>
      <color rgb="FF000000"/>
      <name val="Arial"/>
    </font>
  </fonts>
  <fills count="10">
    <fill>
      <patternFill patternType="none"/>
    </fill>
    <fill>
      <patternFill patternType="gray125"/>
    </fill>
    <fill>
      <patternFill patternType="solid">
        <fgColor rgb="FFB0B3B2"/>
        <bgColor rgb="FFB0B3B2"/>
      </patternFill>
    </fill>
    <fill>
      <patternFill patternType="solid">
        <fgColor rgb="FF93C47D"/>
        <bgColor rgb="FF93C47D"/>
      </patternFill>
    </fill>
    <fill>
      <patternFill patternType="solid">
        <fgColor rgb="FFF6B26B"/>
        <bgColor rgb="FFF6B26B"/>
      </patternFill>
    </fill>
    <fill>
      <patternFill patternType="solid">
        <fgColor rgb="FF6FA8DC"/>
        <bgColor rgb="FF6FA8DC"/>
      </patternFill>
    </fill>
    <fill>
      <patternFill patternType="solid">
        <fgColor rgb="FFD4D4D4"/>
        <bgColor rgb="FFD4D4D4"/>
      </patternFill>
    </fill>
    <fill>
      <patternFill patternType="solid">
        <fgColor rgb="FFA4C2F4"/>
        <bgColor rgb="FFA4C2F4"/>
      </patternFill>
    </fill>
    <fill>
      <patternFill patternType="solid">
        <fgColor rgb="FFD5A6BD"/>
        <bgColor rgb="FFD5A6BD"/>
      </patternFill>
    </fill>
    <fill>
      <patternFill patternType="solid">
        <fgColor rgb="FFB4A7D6"/>
        <bgColor rgb="FFB4A7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4" fillId="0" borderId="0" xfId="0" applyFont="1"/>
    <xf numFmtId="0" fontId="5" fillId="2" borderId="0" xfId="0" applyFont="1" applyFill="1" applyAlignment="1">
      <alignment vertical="top"/>
    </xf>
    <xf numFmtId="0" fontId="5" fillId="2" borderId="1" xfId="0" applyFont="1" applyFill="1" applyBorder="1" applyAlignment="1">
      <alignment vertical="top"/>
    </xf>
    <xf numFmtId="0" fontId="1" fillId="3" borderId="0" xfId="0" applyFont="1" applyFill="1"/>
    <xf numFmtId="0" fontId="1" fillId="4" borderId="0" xfId="0" applyFont="1" applyFill="1"/>
    <xf numFmtId="0" fontId="1" fillId="5" borderId="0" xfId="0" applyFont="1" applyFill="1"/>
    <xf numFmtId="0" fontId="5" fillId="6" borderId="1" xfId="0" applyFont="1" applyFill="1" applyBorder="1" applyAlignment="1">
      <alignment vertical="top"/>
    </xf>
    <xf numFmtId="0" fontId="6" fillId="0" borderId="1" xfId="0" applyFont="1" applyBorder="1" applyAlignment="1">
      <alignment vertical="top"/>
    </xf>
    <xf numFmtId="164" fontId="6" fillId="0" borderId="1" xfId="0" applyNumberFormat="1" applyFont="1" applyBorder="1" applyAlignment="1">
      <alignment vertical="top"/>
    </xf>
    <xf numFmtId="0" fontId="2" fillId="3" borderId="0" xfId="0" applyFont="1" applyFill="1"/>
    <xf numFmtId="0" fontId="2" fillId="4" borderId="0" xfId="0" applyFont="1" applyFill="1"/>
    <xf numFmtId="0" fontId="7" fillId="0" borderId="0" xfId="0" applyFont="1"/>
    <xf numFmtId="165" fontId="6" fillId="0" borderId="1" xfId="0" applyNumberFormat="1" applyFont="1" applyBorder="1" applyAlignment="1">
      <alignment vertical="top"/>
    </xf>
    <xf numFmtId="166" fontId="6" fillId="0" borderId="1" xfId="0" applyNumberFormat="1" applyFont="1" applyBorder="1" applyAlignment="1">
      <alignment vertical="top"/>
    </xf>
    <xf numFmtId="0" fontId="2" fillId="0" borderId="1" xfId="0" applyFont="1" applyBorder="1" applyAlignment="1">
      <alignment vertical="top"/>
    </xf>
    <xf numFmtId="0" fontId="8" fillId="5" borderId="0" xfId="0" applyFont="1" applyFill="1"/>
    <xf numFmtId="0" fontId="8" fillId="0" borderId="0" xfId="0" applyFont="1"/>
    <xf numFmtId="0" fontId="2" fillId="5" borderId="0" xfId="0" applyFont="1" applyFill="1"/>
    <xf numFmtId="0" fontId="9" fillId="0" borderId="0" xfId="0" applyFont="1"/>
    <xf numFmtId="0" fontId="10" fillId="0" borderId="0" xfId="0" applyFont="1"/>
    <xf numFmtId="0" fontId="11" fillId="0" borderId="0" xfId="0" applyFont="1"/>
    <xf numFmtId="0" fontId="2" fillId="7" borderId="0" xfId="0" applyFont="1" applyFill="1"/>
    <xf numFmtId="0" fontId="2" fillId="8" borderId="0" xfId="0" applyFont="1" applyFill="1"/>
    <xf numFmtId="0" fontId="2" fillId="9" borderId="0" xfId="0" applyFont="1" applyFill="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306437923000844" TargetMode="External"/><Relationship Id="rId13" Type="http://schemas.openxmlformats.org/officeDocument/2006/relationships/hyperlink" Target="https://arxiv.org/pdf/2505.22316" TargetMode="External"/><Relationship Id="rId18" Type="http://schemas.openxmlformats.org/officeDocument/2006/relationships/hyperlink" Target="https://link.springer.com/article/10.1007/s10845-018-1434-7" TargetMode="External"/><Relationship Id="rId26" Type="http://schemas.openxmlformats.org/officeDocument/2006/relationships/hyperlink" Target="https://ieeexplore.ieee.org/abstract/document/11220278" TargetMode="External"/><Relationship Id="rId3" Type="http://schemas.openxmlformats.org/officeDocument/2006/relationships/hyperlink" Target="https://ieeexplore.ieee.org/abstract/document/8884350" TargetMode="External"/><Relationship Id="rId21" Type="http://schemas.openxmlformats.org/officeDocument/2006/relationships/hyperlink" Target="https://link.springer.com/chapter/10.1007/978-3-032-02867-9_27" TargetMode="External"/><Relationship Id="rId7" Type="http://schemas.openxmlformats.org/officeDocument/2006/relationships/hyperlink" Target="https://ieeexplore.ieee.org/abstract/document/7019960" TargetMode="External"/><Relationship Id="rId12" Type="http://schemas.openxmlformats.org/officeDocument/2006/relationships/hyperlink" Target="https://www.mdpi.com/1999-4893/15/5/173" TargetMode="External"/><Relationship Id="rId17" Type="http://schemas.openxmlformats.org/officeDocument/2006/relationships/hyperlink" Target="https://link.springer.com/chapter/10.1007/978-3-030-26619-6_19" TargetMode="External"/><Relationship Id="rId25" Type="http://schemas.openxmlformats.org/officeDocument/2006/relationships/hyperlink" Target="https://ieeexplore.ieee.org/abstract/document/8632360" TargetMode="External"/><Relationship Id="rId2" Type="http://schemas.openxmlformats.org/officeDocument/2006/relationships/hyperlink" Target="https://ieeexplore.ieee.org/abstract/document/6217496" TargetMode="External"/><Relationship Id="rId16" Type="http://schemas.openxmlformats.org/officeDocument/2006/relationships/hyperlink" Target="https://ieeexplore.ieee.org/abstract/document/10271993" TargetMode="External"/><Relationship Id="rId20" Type="http://schemas.openxmlformats.org/officeDocument/2006/relationships/hyperlink" Target="https://link.springer.com/chapter/10.1007/978-3-031-70396-6_19" TargetMode="External"/><Relationship Id="rId29" Type="http://schemas.openxmlformats.org/officeDocument/2006/relationships/hyperlink" Target="https://link.springer.com/chapter/10.1007/978-3-031-70396-6_10" TargetMode="External"/><Relationship Id="rId1" Type="http://schemas.openxmlformats.org/officeDocument/2006/relationships/hyperlink" Target="https://ieeexplore.ieee.org/abstract/document/8621819" TargetMode="External"/><Relationship Id="rId6" Type="http://schemas.openxmlformats.org/officeDocument/2006/relationships/hyperlink" Target="https://ieeexplore.ieee.org/abstract/document/10407783" TargetMode="External"/><Relationship Id="rId11" Type="http://schemas.openxmlformats.org/officeDocument/2006/relationships/hyperlink" Target="https://arxiv.org/pdf/2008.08693" TargetMode="External"/><Relationship Id="rId24" Type="http://schemas.openxmlformats.org/officeDocument/2006/relationships/hyperlink" Target="https://link.springer.com/chapter/10.1007/978-981-95-5015-9_24" TargetMode="External"/><Relationship Id="rId5" Type="http://schemas.openxmlformats.org/officeDocument/2006/relationships/hyperlink" Target="https://ieeexplore.ieee.org/abstract/document/9004800" TargetMode="External"/><Relationship Id="rId15" Type="http://schemas.openxmlformats.org/officeDocument/2006/relationships/hyperlink" Target="https://link.springer.com/chapter/10.1007/978-3-642-14706-7_25" TargetMode="External"/><Relationship Id="rId23" Type="http://schemas.openxmlformats.org/officeDocument/2006/relationships/hyperlink" Target="https://link.springer.com/chapter/10.1007/978-3-032-02929-4_10" TargetMode="External"/><Relationship Id="rId28" Type="http://schemas.openxmlformats.org/officeDocument/2006/relationships/hyperlink" Target="https://link.springer.com/chapter/10.1007/978-3-031-41620-0_8" TargetMode="External"/><Relationship Id="rId10" Type="http://schemas.openxmlformats.org/officeDocument/2006/relationships/hyperlink" Target="https://dl.acm.org/doi/abs/10.1145/1985394.1985402" TargetMode="External"/><Relationship Id="rId19" Type="http://schemas.openxmlformats.org/officeDocument/2006/relationships/hyperlink" Target="https://link.springer.com/article/10.1007/s44311-025-00009-5" TargetMode="External"/><Relationship Id="rId31" Type="http://schemas.openxmlformats.org/officeDocument/2006/relationships/hyperlink" Target="https://link.springer.com/article/10.1057/jos.2013.6" TargetMode="External"/><Relationship Id="rId4" Type="http://schemas.openxmlformats.org/officeDocument/2006/relationships/hyperlink" Target="https://ieeexplore.ieee.org/abstract/document/11220647" TargetMode="External"/><Relationship Id="rId9" Type="http://schemas.openxmlformats.org/officeDocument/2006/relationships/hyperlink" Target="https://ieeexplore.ieee.org/abstract/document/9837907" TargetMode="External"/><Relationship Id="rId14" Type="http://schemas.openxmlformats.org/officeDocument/2006/relationships/hyperlink" Target="https://www.sciencedirect.com/science/article/pii/S0959652623024174" TargetMode="External"/><Relationship Id="rId22" Type="http://schemas.openxmlformats.org/officeDocument/2006/relationships/hyperlink" Target="https://ieeexplore.ieee.org/document/10680675?denied=" TargetMode="External"/><Relationship Id="rId27" Type="http://schemas.openxmlformats.org/officeDocument/2006/relationships/hyperlink" Target="https://link.springer.com/chapter/10.1007/978-3-031-70396-6_20" TargetMode="External"/><Relationship Id="rId30" Type="http://schemas.openxmlformats.org/officeDocument/2006/relationships/hyperlink" Target="https://www.scirp.org/journal/paperinformation?paperid=824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258"/>
  <sheetViews>
    <sheetView tabSelected="1" workbookViewId="0"/>
  </sheetViews>
  <sheetFormatPr defaultColWidth="12.6328125" defaultRowHeight="15.75" customHeight="1"/>
  <cols>
    <col min="1" max="1" width="103.6328125" customWidth="1"/>
    <col min="2" max="2" width="48.90625" customWidth="1"/>
    <col min="3" max="3" width="13.7265625" customWidth="1"/>
    <col min="4" max="4" width="13.90625" customWidth="1"/>
    <col min="5" max="5" width="9.7265625" customWidth="1"/>
    <col min="6" max="6" width="50.453125" customWidth="1"/>
    <col min="7" max="7" width="10.90625" customWidth="1"/>
    <col min="8" max="8" width="9.36328125" customWidth="1"/>
    <col min="17" max="17" width="48" customWidth="1"/>
    <col min="18" max="19" width="26.90625" customWidth="1"/>
    <col min="20" max="20" width="18" customWidth="1"/>
    <col min="22" max="22" width="18.453125" customWidth="1"/>
  </cols>
  <sheetData>
    <row r="1" spans="1:24" ht="13">
      <c r="A1" s="6"/>
      <c r="B1" s="6"/>
      <c r="C1" s="6"/>
      <c r="D1" s="6"/>
      <c r="E1" s="6"/>
      <c r="F1" s="6"/>
      <c r="G1" s="29" t="s">
        <v>19</v>
      </c>
      <c r="H1" s="30"/>
      <c r="I1" s="30"/>
      <c r="J1" s="30"/>
      <c r="L1" s="29" t="s">
        <v>20</v>
      </c>
      <c r="M1" s="30"/>
      <c r="N1" s="30"/>
      <c r="O1" s="30"/>
    </row>
    <row r="2" spans="1:24" ht="13">
      <c r="A2" s="7" t="s">
        <v>0</v>
      </c>
      <c r="B2" s="7" t="s">
        <v>21</v>
      </c>
      <c r="C2" s="7" t="s">
        <v>22</v>
      </c>
      <c r="D2" s="7" t="s">
        <v>23</v>
      </c>
      <c r="E2" s="7" t="s">
        <v>24</v>
      </c>
      <c r="F2" s="7" t="s">
        <v>25</v>
      </c>
      <c r="G2" s="8" t="s">
        <v>26</v>
      </c>
      <c r="H2" s="9" t="s">
        <v>27</v>
      </c>
      <c r="I2" s="10" t="s">
        <v>28</v>
      </c>
      <c r="J2" s="1" t="s">
        <v>29</v>
      </c>
      <c r="L2" s="8" t="s">
        <v>26</v>
      </c>
      <c r="M2" s="9" t="s">
        <v>27</v>
      </c>
      <c r="N2" s="10" t="s">
        <v>28</v>
      </c>
      <c r="O2" s="1" t="s">
        <v>29</v>
      </c>
      <c r="P2" s="2" t="s">
        <v>1</v>
      </c>
      <c r="Q2" s="2" t="s">
        <v>30</v>
      </c>
      <c r="R2" s="2" t="s">
        <v>31</v>
      </c>
      <c r="S2" s="2" t="s">
        <v>32</v>
      </c>
      <c r="T2" s="2" t="s">
        <v>33</v>
      </c>
      <c r="U2" s="2" t="s">
        <v>34</v>
      </c>
      <c r="V2" s="2" t="s">
        <v>35</v>
      </c>
      <c r="W2" s="2" t="s">
        <v>36</v>
      </c>
      <c r="X2" s="2" t="s">
        <v>37</v>
      </c>
    </row>
    <row r="3" spans="1:24" ht="13">
      <c r="A3" s="11" t="s">
        <v>38</v>
      </c>
      <c r="B3" s="12" t="s">
        <v>39</v>
      </c>
      <c r="C3" s="12" t="s">
        <v>40</v>
      </c>
      <c r="D3" s="12">
        <v>2009</v>
      </c>
      <c r="E3" s="13">
        <v>40039</v>
      </c>
      <c r="F3" s="12" t="s">
        <v>41</v>
      </c>
      <c r="G3" s="14" t="s">
        <v>42</v>
      </c>
      <c r="H3" s="15" t="s">
        <v>43</v>
      </c>
      <c r="J3" s="2" t="str">
        <f t="shared" ref="J3:J243" si="0">IF(COUNTIF(G3:I3, "Y")&gt;=2,"Y","N")</f>
        <v>N</v>
      </c>
    </row>
    <row r="4" spans="1:24" ht="13">
      <c r="A4" s="11" t="s">
        <v>44</v>
      </c>
      <c r="B4" s="12" t="s">
        <v>45</v>
      </c>
      <c r="C4" s="12" t="s">
        <v>40</v>
      </c>
      <c r="D4" s="12">
        <v>2018</v>
      </c>
      <c r="E4" s="13">
        <v>43165</v>
      </c>
      <c r="F4" s="12" t="s">
        <v>46</v>
      </c>
      <c r="G4" s="14" t="s">
        <v>47</v>
      </c>
      <c r="H4" s="15" t="s">
        <v>47</v>
      </c>
      <c r="J4" s="2" t="str">
        <f t="shared" si="0"/>
        <v>Y</v>
      </c>
      <c r="L4" s="14" t="s">
        <v>48</v>
      </c>
      <c r="M4" s="15" t="s">
        <v>48</v>
      </c>
      <c r="O4" s="2" t="str">
        <f t="shared" ref="O4:O5" si="1">IF(COUNTIF(L4:N4, "Y")&gt;=2,"Y","N")</f>
        <v>N</v>
      </c>
      <c r="W4" s="2" t="s">
        <v>49</v>
      </c>
    </row>
    <row r="5" spans="1:24" ht="13">
      <c r="A5" s="11" t="s">
        <v>50</v>
      </c>
      <c r="B5" s="12" t="s">
        <v>51</v>
      </c>
      <c r="C5" s="12" t="s">
        <v>40</v>
      </c>
      <c r="D5" s="12">
        <v>2021</v>
      </c>
      <c r="E5" s="12" t="s">
        <v>52</v>
      </c>
      <c r="F5" s="12" t="s">
        <v>53</v>
      </c>
      <c r="G5" s="14" t="s">
        <v>47</v>
      </c>
      <c r="H5" s="15" t="s">
        <v>47</v>
      </c>
      <c r="J5" s="2" t="str">
        <f t="shared" si="0"/>
        <v>Y</v>
      </c>
      <c r="L5" s="14" t="s">
        <v>43</v>
      </c>
      <c r="M5" s="15" t="s">
        <v>43</v>
      </c>
      <c r="O5" s="2" t="str">
        <f t="shared" si="1"/>
        <v>N</v>
      </c>
    </row>
    <row r="6" spans="1:24" ht="13">
      <c r="A6" s="11" t="s">
        <v>54</v>
      </c>
      <c r="B6" s="12" t="s">
        <v>55</v>
      </c>
      <c r="C6" s="12" t="s">
        <v>56</v>
      </c>
      <c r="D6" s="12">
        <v>2025</v>
      </c>
      <c r="E6" s="12">
        <v>2025</v>
      </c>
      <c r="F6" s="12" t="s">
        <v>57</v>
      </c>
      <c r="G6" s="14" t="s">
        <v>43</v>
      </c>
      <c r="H6" s="15" t="s">
        <v>43</v>
      </c>
      <c r="J6" s="2" t="str">
        <f t="shared" si="0"/>
        <v>N</v>
      </c>
    </row>
    <row r="7" spans="1:24" ht="13">
      <c r="A7" s="11" t="s">
        <v>58</v>
      </c>
      <c r="B7" s="12" t="s">
        <v>59</v>
      </c>
      <c r="C7" s="12" t="s">
        <v>40</v>
      </c>
      <c r="D7" s="12">
        <v>2013</v>
      </c>
      <c r="E7" s="13">
        <v>41613</v>
      </c>
      <c r="F7" s="12" t="s">
        <v>60</v>
      </c>
      <c r="G7" s="14" t="s">
        <v>61</v>
      </c>
      <c r="H7" s="15" t="s">
        <v>61</v>
      </c>
      <c r="J7" s="2" t="str">
        <f t="shared" si="0"/>
        <v>N</v>
      </c>
    </row>
    <row r="8" spans="1:24" ht="13">
      <c r="A8" s="11" t="s">
        <v>62</v>
      </c>
      <c r="B8" s="12" t="s">
        <v>63</v>
      </c>
      <c r="C8" s="12" t="s">
        <v>40</v>
      </c>
      <c r="D8" s="12">
        <v>2018</v>
      </c>
      <c r="E8" s="13">
        <v>43403</v>
      </c>
      <c r="F8" s="12" t="s">
        <v>64</v>
      </c>
      <c r="G8" s="14" t="s">
        <v>47</v>
      </c>
      <c r="H8" s="15" t="s">
        <v>47</v>
      </c>
      <c r="J8" s="2" t="str">
        <f t="shared" si="0"/>
        <v>Y</v>
      </c>
      <c r="L8" s="14" t="s">
        <v>47</v>
      </c>
      <c r="M8" s="15" t="s">
        <v>47</v>
      </c>
      <c r="O8" s="2" t="str">
        <f>IF(COUNTIF(L8:N8, "Y")&gt;=2,"Y","N")</f>
        <v>Y</v>
      </c>
      <c r="P8" s="4" t="s">
        <v>65</v>
      </c>
      <c r="Q8" s="2" t="s">
        <v>66</v>
      </c>
      <c r="R8" s="2" t="s">
        <v>67</v>
      </c>
      <c r="S8" s="2" t="s">
        <v>68</v>
      </c>
      <c r="T8" s="2">
        <v>1</v>
      </c>
      <c r="U8" s="16" t="s">
        <v>69</v>
      </c>
      <c r="V8" s="2" t="s">
        <v>70</v>
      </c>
      <c r="W8" s="2" t="s">
        <v>71</v>
      </c>
    </row>
    <row r="9" spans="1:24" ht="13">
      <c r="A9" s="11" t="s">
        <v>72</v>
      </c>
      <c r="B9" s="12" t="s">
        <v>73</v>
      </c>
      <c r="C9" s="12" t="s">
        <v>40</v>
      </c>
      <c r="D9" s="12">
        <v>2024</v>
      </c>
      <c r="E9" s="13">
        <v>45545</v>
      </c>
      <c r="F9" s="12" t="s">
        <v>74</v>
      </c>
      <c r="G9" s="14" t="s">
        <v>43</v>
      </c>
      <c r="H9" s="15" t="s">
        <v>43</v>
      </c>
      <c r="J9" s="2" t="str">
        <f t="shared" si="0"/>
        <v>N</v>
      </c>
    </row>
    <row r="10" spans="1:24" ht="13">
      <c r="A10" s="11" t="s">
        <v>75</v>
      </c>
      <c r="B10" s="12" t="s">
        <v>76</v>
      </c>
      <c r="C10" s="12" t="s">
        <v>40</v>
      </c>
      <c r="D10" s="12">
        <v>2012</v>
      </c>
      <c r="E10" s="13">
        <v>41042</v>
      </c>
      <c r="F10" s="12" t="s">
        <v>77</v>
      </c>
      <c r="G10" s="14" t="s">
        <v>47</v>
      </c>
      <c r="H10" s="15" t="s">
        <v>47</v>
      </c>
      <c r="J10" s="2" t="str">
        <f t="shared" si="0"/>
        <v>Y</v>
      </c>
      <c r="L10" s="14" t="s">
        <v>47</v>
      </c>
      <c r="M10" s="15" t="s">
        <v>47</v>
      </c>
      <c r="O10" s="2" t="str">
        <f t="shared" ref="O10:O11" si="2">IF(COUNTIF(L10:N10, "Y")&gt;=2,"Y","N")</f>
        <v>Y</v>
      </c>
      <c r="P10" s="5" t="s">
        <v>78</v>
      </c>
      <c r="Q10" s="2" t="s">
        <v>66</v>
      </c>
      <c r="R10" s="2" t="s">
        <v>79</v>
      </c>
      <c r="S10" s="2" t="s">
        <v>68</v>
      </c>
      <c r="T10" s="2">
        <v>7</v>
      </c>
      <c r="U10" s="16" t="s">
        <v>80</v>
      </c>
      <c r="V10" s="2" t="s">
        <v>81</v>
      </c>
      <c r="X10" s="2"/>
    </row>
    <row r="11" spans="1:24" ht="13">
      <c r="A11" s="11" t="s">
        <v>82</v>
      </c>
      <c r="B11" s="12" t="s">
        <v>83</v>
      </c>
      <c r="C11" s="12" t="s">
        <v>56</v>
      </c>
      <c r="D11" s="12">
        <v>2013</v>
      </c>
      <c r="E11" s="17">
        <v>41609</v>
      </c>
      <c r="F11" s="12" t="s">
        <v>84</v>
      </c>
      <c r="G11" s="14" t="s">
        <v>47</v>
      </c>
      <c r="H11" s="15" t="s">
        <v>47</v>
      </c>
      <c r="J11" s="2" t="str">
        <f t="shared" si="0"/>
        <v>Y</v>
      </c>
      <c r="L11" s="14" t="s">
        <v>43</v>
      </c>
      <c r="M11" s="15" t="s">
        <v>43</v>
      </c>
      <c r="O11" s="2" t="str">
        <f t="shared" si="2"/>
        <v>N</v>
      </c>
    </row>
    <row r="12" spans="1:24" ht="13">
      <c r="A12" s="11" t="s">
        <v>85</v>
      </c>
      <c r="B12" s="12" t="s">
        <v>86</v>
      </c>
      <c r="C12" s="12" t="s">
        <v>40</v>
      </c>
      <c r="D12" s="12">
        <v>2009</v>
      </c>
      <c r="E12" s="13">
        <v>40033</v>
      </c>
      <c r="F12" s="12" t="s">
        <v>87</v>
      </c>
      <c r="G12" s="14" t="s">
        <v>43</v>
      </c>
      <c r="H12" s="15" t="s">
        <v>43</v>
      </c>
      <c r="J12" s="2" t="str">
        <f t="shared" si="0"/>
        <v>N</v>
      </c>
    </row>
    <row r="13" spans="1:24" ht="13">
      <c r="A13" s="11" t="s">
        <v>88</v>
      </c>
      <c r="B13" s="12" t="s">
        <v>89</v>
      </c>
      <c r="C13" s="12" t="s">
        <v>40</v>
      </c>
      <c r="D13" s="12">
        <v>1998</v>
      </c>
      <c r="E13" s="13">
        <v>36142</v>
      </c>
      <c r="F13" s="12" t="s">
        <v>90</v>
      </c>
      <c r="G13" s="14" t="s">
        <v>43</v>
      </c>
      <c r="H13" s="15" t="s">
        <v>43</v>
      </c>
      <c r="J13" s="2" t="str">
        <f t="shared" si="0"/>
        <v>N</v>
      </c>
    </row>
    <row r="14" spans="1:24" ht="13">
      <c r="A14" s="11" t="s">
        <v>91</v>
      </c>
      <c r="B14" s="12" t="s">
        <v>92</v>
      </c>
      <c r="C14" s="12" t="s">
        <v>40</v>
      </c>
      <c r="D14" s="12">
        <v>1995</v>
      </c>
      <c r="E14" s="13">
        <v>35011</v>
      </c>
      <c r="F14" s="12" t="s">
        <v>93</v>
      </c>
      <c r="G14" s="14" t="s">
        <v>61</v>
      </c>
      <c r="H14" s="15" t="s">
        <v>43</v>
      </c>
      <c r="J14" s="2" t="str">
        <f t="shared" si="0"/>
        <v>N</v>
      </c>
    </row>
    <row r="15" spans="1:24" ht="13">
      <c r="A15" s="11" t="s">
        <v>94</v>
      </c>
      <c r="B15" s="12" t="s">
        <v>95</v>
      </c>
      <c r="C15" s="12" t="s">
        <v>40</v>
      </c>
      <c r="D15" s="12">
        <v>2019</v>
      </c>
      <c r="E15" s="13">
        <v>43729</v>
      </c>
      <c r="F15" s="12" t="s">
        <v>96</v>
      </c>
      <c r="G15" s="14" t="s">
        <v>47</v>
      </c>
      <c r="H15" s="15" t="s">
        <v>47</v>
      </c>
      <c r="J15" s="2" t="str">
        <f t="shared" si="0"/>
        <v>Y</v>
      </c>
      <c r="L15" s="14" t="s">
        <v>47</v>
      </c>
      <c r="M15" s="15" t="s">
        <v>47</v>
      </c>
      <c r="O15" s="2" t="str">
        <f>IF(COUNTIF(L15:N15, "Y")&gt;=2,"Y","N")</f>
        <v>Y</v>
      </c>
      <c r="P15" s="5" t="s">
        <v>97</v>
      </c>
      <c r="Q15" s="2" t="s">
        <v>98</v>
      </c>
      <c r="R15" s="2" t="s">
        <v>99</v>
      </c>
      <c r="S15" s="2" t="s">
        <v>68</v>
      </c>
      <c r="T15" s="2">
        <v>1</v>
      </c>
      <c r="U15" s="16" t="s">
        <v>69</v>
      </c>
      <c r="V15" s="2" t="s">
        <v>100</v>
      </c>
      <c r="X15" s="2" t="s">
        <v>101</v>
      </c>
    </row>
    <row r="16" spans="1:24" ht="13">
      <c r="A16" s="11" t="s">
        <v>102</v>
      </c>
      <c r="B16" s="12" t="s">
        <v>103</v>
      </c>
      <c r="C16" s="12" t="s">
        <v>40</v>
      </c>
      <c r="D16" s="12">
        <v>2006</v>
      </c>
      <c r="E16" s="13">
        <v>38995</v>
      </c>
      <c r="F16" s="12" t="s">
        <v>104</v>
      </c>
      <c r="G16" s="14" t="s">
        <v>43</v>
      </c>
      <c r="H16" s="15" t="s">
        <v>42</v>
      </c>
      <c r="J16" s="2" t="str">
        <f t="shared" si="0"/>
        <v>N</v>
      </c>
    </row>
    <row r="17" spans="1:15" ht="13">
      <c r="A17" s="11" t="s">
        <v>105</v>
      </c>
      <c r="B17" s="12" t="s">
        <v>106</v>
      </c>
      <c r="C17" s="12" t="s">
        <v>40</v>
      </c>
      <c r="D17" s="12">
        <v>2005</v>
      </c>
      <c r="E17" s="13">
        <v>38690</v>
      </c>
      <c r="F17" s="12" t="s">
        <v>107</v>
      </c>
      <c r="G17" s="14" t="s">
        <v>43</v>
      </c>
      <c r="H17" s="15" t="s">
        <v>43</v>
      </c>
      <c r="J17" s="2" t="str">
        <f t="shared" si="0"/>
        <v>N</v>
      </c>
    </row>
    <row r="18" spans="1:15" ht="13">
      <c r="A18" s="11" t="s">
        <v>108</v>
      </c>
      <c r="B18" s="12" t="s">
        <v>109</v>
      </c>
      <c r="C18" s="12" t="s">
        <v>40</v>
      </c>
      <c r="D18" s="12">
        <v>2025</v>
      </c>
      <c r="E18" s="13">
        <v>45924</v>
      </c>
      <c r="F18" s="12" t="s">
        <v>110</v>
      </c>
      <c r="G18" s="14" t="s">
        <v>111</v>
      </c>
      <c r="H18" s="15" t="s">
        <v>47</v>
      </c>
      <c r="I18" s="2" t="s">
        <v>47</v>
      </c>
      <c r="J18" s="2" t="str">
        <f t="shared" si="0"/>
        <v>Y</v>
      </c>
      <c r="L18" s="14" t="s">
        <v>43</v>
      </c>
      <c r="M18" s="15" t="s">
        <v>43</v>
      </c>
      <c r="O18" s="2" t="str">
        <f>IF(COUNTIF(L18:N18, "Y")&gt;=2,"Y","N")</f>
        <v>N</v>
      </c>
    </row>
    <row r="19" spans="1:15" ht="13">
      <c r="A19" s="11" t="s">
        <v>112</v>
      </c>
      <c r="B19" s="12" t="s">
        <v>113</v>
      </c>
      <c r="C19" s="12" t="s">
        <v>40</v>
      </c>
      <c r="D19" s="12">
        <v>2024</v>
      </c>
      <c r="E19" s="13">
        <v>45641</v>
      </c>
      <c r="F19" s="12" t="s">
        <v>114</v>
      </c>
      <c r="G19" s="14" t="s">
        <v>43</v>
      </c>
      <c r="H19" s="15" t="s">
        <v>43</v>
      </c>
      <c r="J19" s="2" t="str">
        <f t="shared" si="0"/>
        <v>N</v>
      </c>
    </row>
    <row r="20" spans="1:15" ht="13">
      <c r="A20" s="11" t="s">
        <v>115</v>
      </c>
      <c r="B20" s="12" t="s">
        <v>116</v>
      </c>
      <c r="C20" s="12" t="s">
        <v>117</v>
      </c>
      <c r="D20" s="12">
        <v>2020</v>
      </c>
      <c r="E20" s="12">
        <v>2020</v>
      </c>
      <c r="F20" s="12" t="s">
        <v>118</v>
      </c>
      <c r="G20" s="14" t="s">
        <v>119</v>
      </c>
      <c r="H20" s="15" t="s">
        <v>119</v>
      </c>
      <c r="J20" s="2" t="str">
        <f t="shared" si="0"/>
        <v>N</v>
      </c>
    </row>
    <row r="21" spans="1:15" ht="13">
      <c r="A21" s="11" t="s">
        <v>120</v>
      </c>
      <c r="B21" s="12" t="s">
        <v>121</v>
      </c>
      <c r="C21" s="12" t="s">
        <v>40</v>
      </c>
      <c r="D21" s="12">
        <v>2011</v>
      </c>
      <c r="E21" s="13">
        <v>40888</v>
      </c>
      <c r="F21" s="12" t="s">
        <v>122</v>
      </c>
      <c r="G21" s="14" t="s">
        <v>47</v>
      </c>
      <c r="H21" s="15" t="s">
        <v>47</v>
      </c>
      <c r="J21" s="2" t="str">
        <f t="shared" si="0"/>
        <v>Y</v>
      </c>
      <c r="L21" s="14" t="s">
        <v>43</v>
      </c>
      <c r="M21" s="15" t="s">
        <v>43</v>
      </c>
      <c r="O21" s="2" t="str">
        <f t="shared" ref="O21:O22" si="3">IF(COUNTIF(L21:N21, "Y")&gt;=2,"Y","N")</f>
        <v>N</v>
      </c>
    </row>
    <row r="22" spans="1:15" ht="13">
      <c r="A22" s="11" t="s">
        <v>123</v>
      </c>
      <c r="B22" s="12" t="s">
        <v>124</v>
      </c>
      <c r="C22" s="12" t="s">
        <v>56</v>
      </c>
      <c r="D22" s="12">
        <v>2025</v>
      </c>
      <c r="E22" s="12">
        <v>2025</v>
      </c>
      <c r="F22" s="12" t="s">
        <v>125</v>
      </c>
      <c r="G22" s="14" t="s">
        <v>47</v>
      </c>
      <c r="H22" s="15" t="s">
        <v>42</v>
      </c>
      <c r="I22" s="2" t="s">
        <v>47</v>
      </c>
      <c r="J22" s="2" t="str">
        <f t="shared" si="0"/>
        <v>Y</v>
      </c>
      <c r="L22" s="14" t="s">
        <v>43</v>
      </c>
      <c r="M22" s="15" t="s">
        <v>43</v>
      </c>
      <c r="O22" s="2" t="str">
        <f t="shared" si="3"/>
        <v>N</v>
      </c>
    </row>
    <row r="23" spans="1:15" ht="13">
      <c r="A23" s="11" t="s">
        <v>126</v>
      </c>
      <c r="B23" s="12" t="s">
        <v>127</v>
      </c>
      <c r="C23" s="12" t="s">
        <v>56</v>
      </c>
      <c r="D23" s="12">
        <v>2012</v>
      </c>
      <c r="E23" s="18">
        <v>41000</v>
      </c>
      <c r="F23" s="12" t="s">
        <v>128</v>
      </c>
      <c r="G23" s="14" t="s">
        <v>42</v>
      </c>
      <c r="H23" s="15" t="s">
        <v>42</v>
      </c>
      <c r="J23" s="2" t="str">
        <f t="shared" si="0"/>
        <v>N</v>
      </c>
    </row>
    <row r="24" spans="1:15" ht="13">
      <c r="A24" s="11" t="s">
        <v>129</v>
      </c>
      <c r="B24" s="12" t="s">
        <v>130</v>
      </c>
      <c r="C24" s="12" t="s">
        <v>56</v>
      </c>
      <c r="D24" s="12">
        <v>2022</v>
      </c>
      <c r="E24" s="18">
        <v>44774</v>
      </c>
      <c r="F24" s="12" t="s">
        <v>131</v>
      </c>
      <c r="G24" s="14" t="s">
        <v>43</v>
      </c>
      <c r="H24" s="15" t="s">
        <v>43</v>
      </c>
      <c r="J24" s="2" t="str">
        <f t="shared" si="0"/>
        <v>N</v>
      </c>
    </row>
    <row r="25" spans="1:15" ht="13">
      <c r="A25" s="11" t="s">
        <v>132</v>
      </c>
      <c r="B25" s="12" t="s">
        <v>133</v>
      </c>
      <c r="C25" s="12" t="s">
        <v>40</v>
      </c>
      <c r="D25" s="12">
        <v>2017</v>
      </c>
      <c r="E25" s="13">
        <v>42951</v>
      </c>
      <c r="F25" s="12" t="s">
        <v>134</v>
      </c>
      <c r="G25" s="14" t="s">
        <v>47</v>
      </c>
      <c r="H25" s="15" t="s">
        <v>42</v>
      </c>
      <c r="I25" s="2" t="s">
        <v>42</v>
      </c>
      <c r="J25" s="2" t="str">
        <f t="shared" si="0"/>
        <v>N</v>
      </c>
    </row>
    <row r="26" spans="1:15" ht="13">
      <c r="A26" s="11" t="s">
        <v>135</v>
      </c>
      <c r="B26" s="12" t="s">
        <v>136</v>
      </c>
      <c r="C26" s="12" t="s">
        <v>40</v>
      </c>
      <c r="D26" s="12">
        <v>2024</v>
      </c>
      <c r="E26" s="13">
        <v>45581</v>
      </c>
      <c r="F26" s="12" t="s">
        <v>137</v>
      </c>
      <c r="G26" s="14" t="s">
        <v>47</v>
      </c>
      <c r="H26" s="15" t="s">
        <v>47</v>
      </c>
      <c r="J26" s="2" t="str">
        <f t="shared" si="0"/>
        <v>Y</v>
      </c>
      <c r="L26" s="14" t="s">
        <v>43</v>
      </c>
      <c r="M26" s="15" t="s">
        <v>43</v>
      </c>
      <c r="O26" s="2" t="str">
        <f>IF(COUNTIF(L26:N26, "Y")&gt;=2,"Y","N")</f>
        <v>N</v>
      </c>
    </row>
    <row r="27" spans="1:15" ht="13">
      <c r="A27" s="11" t="s">
        <v>138</v>
      </c>
      <c r="B27" s="12" t="s">
        <v>139</v>
      </c>
      <c r="C27" s="12" t="s">
        <v>40</v>
      </c>
      <c r="D27" s="12">
        <v>2024</v>
      </c>
      <c r="E27" s="13">
        <v>45559</v>
      </c>
      <c r="F27" s="12" t="s">
        <v>140</v>
      </c>
      <c r="G27" s="14" t="s">
        <v>43</v>
      </c>
      <c r="H27" s="15" t="s">
        <v>43</v>
      </c>
      <c r="J27" s="2" t="str">
        <f t="shared" si="0"/>
        <v>N</v>
      </c>
    </row>
    <row r="28" spans="1:15" ht="13">
      <c r="A28" s="11" t="s">
        <v>141</v>
      </c>
      <c r="B28" s="12" t="s">
        <v>142</v>
      </c>
      <c r="C28" s="12" t="s">
        <v>40</v>
      </c>
      <c r="D28" s="12">
        <v>2022</v>
      </c>
      <c r="E28" s="13">
        <v>44910</v>
      </c>
      <c r="F28" s="12" t="s">
        <v>143</v>
      </c>
      <c r="G28" s="14" t="s">
        <v>42</v>
      </c>
      <c r="H28" s="15" t="s">
        <v>42</v>
      </c>
      <c r="J28" s="2" t="str">
        <f t="shared" si="0"/>
        <v>N</v>
      </c>
    </row>
    <row r="29" spans="1:15" ht="13">
      <c r="A29" s="11" t="s">
        <v>144</v>
      </c>
      <c r="B29" s="12" t="s">
        <v>145</v>
      </c>
      <c r="C29" s="12" t="s">
        <v>40</v>
      </c>
      <c r="D29" s="12">
        <v>2001</v>
      </c>
      <c r="E29" s="13">
        <v>37234</v>
      </c>
      <c r="F29" s="12" t="s">
        <v>146</v>
      </c>
      <c r="G29" s="14" t="s">
        <v>43</v>
      </c>
      <c r="H29" s="15" t="s">
        <v>47</v>
      </c>
      <c r="I29" s="2" t="s">
        <v>47</v>
      </c>
      <c r="J29" s="2" t="str">
        <f t="shared" si="0"/>
        <v>Y</v>
      </c>
      <c r="L29" s="14" t="s">
        <v>43</v>
      </c>
      <c r="M29" s="15" t="s">
        <v>43</v>
      </c>
      <c r="O29" s="2" t="str">
        <f t="shared" ref="O29:O30" si="4">IF(COUNTIF(L29:N29, "Y")&gt;=2,"Y","N")</f>
        <v>N</v>
      </c>
    </row>
    <row r="30" spans="1:15" ht="13">
      <c r="A30" s="11" t="s">
        <v>147</v>
      </c>
      <c r="B30" s="12" t="s">
        <v>148</v>
      </c>
      <c r="C30" s="12" t="s">
        <v>40</v>
      </c>
      <c r="D30" s="12">
        <v>2024</v>
      </c>
      <c r="E30" s="13">
        <v>45641</v>
      </c>
      <c r="F30" s="12" t="s">
        <v>149</v>
      </c>
      <c r="G30" s="14" t="s">
        <v>42</v>
      </c>
      <c r="H30" s="15" t="s">
        <v>47</v>
      </c>
      <c r="I30" s="2" t="s">
        <v>47</v>
      </c>
      <c r="J30" s="2" t="str">
        <f t="shared" si="0"/>
        <v>Y</v>
      </c>
      <c r="L30" s="14" t="s">
        <v>42</v>
      </c>
      <c r="M30" s="15" t="s">
        <v>42</v>
      </c>
      <c r="O30" s="2" t="str">
        <f t="shared" si="4"/>
        <v>N</v>
      </c>
    </row>
    <row r="31" spans="1:15" ht="13">
      <c r="A31" s="11" t="s">
        <v>150</v>
      </c>
      <c r="B31" s="12" t="s">
        <v>151</v>
      </c>
      <c r="C31" s="12" t="s">
        <v>40</v>
      </c>
      <c r="D31" s="12">
        <v>2018</v>
      </c>
      <c r="E31" s="13">
        <v>43367</v>
      </c>
      <c r="F31" s="12" t="s">
        <v>152</v>
      </c>
      <c r="G31" s="14" t="s">
        <v>111</v>
      </c>
      <c r="H31" s="15" t="s">
        <v>43</v>
      </c>
      <c r="J31" s="2" t="str">
        <f t="shared" si="0"/>
        <v>N</v>
      </c>
    </row>
    <row r="32" spans="1:15" ht="13">
      <c r="A32" s="11" t="s">
        <v>153</v>
      </c>
      <c r="B32" s="12" t="s">
        <v>136</v>
      </c>
      <c r="C32" s="12" t="s">
        <v>40</v>
      </c>
      <c r="D32" s="12">
        <v>2024</v>
      </c>
      <c r="E32" s="13">
        <v>45432</v>
      </c>
      <c r="F32" s="12" t="s">
        <v>154</v>
      </c>
      <c r="G32" s="14" t="s">
        <v>47</v>
      </c>
      <c r="H32" s="15" t="s">
        <v>47</v>
      </c>
      <c r="J32" s="2" t="str">
        <f t="shared" si="0"/>
        <v>Y</v>
      </c>
      <c r="L32" s="14" t="s">
        <v>43</v>
      </c>
      <c r="M32" s="15" t="s">
        <v>43</v>
      </c>
      <c r="O32" s="2" t="str">
        <f t="shared" ref="O32:O33" si="5">IF(COUNTIF(L32:N32, "Y")&gt;=2,"Y","N")</f>
        <v>N</v>
      </c>
    </row>
    <row r="33" spans="1:19" ht="13">
      <c r="A33" s="11" t="s">
        <v>155</v>
      </c>
      <c r="B33" s="12" t="s">
        <v>156</v>
      </c>
      <c r="C33" s="12" t="s">
        <v>40</v>
      </c>
      <c r="D33" s="12">
        <v>2025</v>
      </c>
      <c r="E33" s="13">
        <v>45950</v>
      </c>
      <c r="F33" s="12" t="s">
        <v>157</v>
      </c>
      <c r="G33" s="14" t="s">
        <v>47</v>
      </c>
      <c r="H33" s="15" t="s">
        <v>47</v>
      </c>
      <c r="J33" s="2" t="str">
        <f t="shared" si="0"/>
        <v>Y</v>
      </c>
      <c r="L33" s="14" t="s">
        <v>43</v>
      </c>
      <c r="M33" s="15" t="s">
        <v>43</v>
      </c>
      <c r="O33" s="2" t="str">
        <f t="shared" si="5"/>
        <v>N</v>
      </c>
      <c r="P33" s="5" t="s">
        <v>158</v>
      </c>
      <c r="Q33" s="2" t="s">
        <v>159</v>
      </c>
      <c r="R33" s="2" t="s">
        <v>79</v>
      </c>
      <c r="S33" s="2"/>
    </row>
    <row r="34" spans="1:19" ht="13">
      <c r="A34" s="11" t="s">
        <v>160</v>
      </c>
      <c r="B34" s="12" t="s">
        <v>161</v>
      </c>
      <c r="C34" s="12" t="s">
        <v>56</v>
      </c>
      <c r="D34" s="12">
        <v>2017</v>
      </c>
      <c r="E34" s="18">
        <v>42795</v>
      </c>
      <c r="F34" s="12" t="s">
        <v>162</v>
      </c>
      <c r="G34" s="14" t="s">
        <v>42</v>
      </c>
      <c r="H34" s="15" t="s">
        <v>42</v>
      </c>
      <c r="J34" s="2" t="str">
        <f t="shared" si="0"/>
        <v>N</v>
      </c>
    </row>
    <row r="35" spans="1:19" ht="13">
      <c r="A35" s="11" t="s">
        <v>163</v>
      </c>
      <c r="B35" s="12" t="s">
        <v>164</v>
      </c>
      <c r="C35" s="12" t="s">
        <v>40</v>
      </c>
      <c r="D35" s="12">
        <v>2015</v>
      </c>
      <c r="E35" s="13">
        <v>42211</v>
      </c>
      <c r="F35" s="12" t="s">
        <v>165</v>
      </c>
      <c r="G35" s="14" t="s">
        <v>42</v>
      </c>
      <c r="H35" s="15" t="s">
        <v>42</v>
      </c>
      <c r="J35" s="2" t="str">
        <f t="shared" si="0"/>
        <v>N</v>
      </c>
    </row>
    <row r="36" spans="1:19" ht="13">
      <c r="A36" s="11" t="s">
        <v>166</v>
      </c>
      <c r="B36" s="12" t="s">
        <v>167</v>
      </c>
      <c r="C36" s="12" t="s">
        <v>40</v>
      </c>
      <c r="D36" s="12">
        <v>2002</v>
      </c>
      <c r="E36" s="13">
        <v>37598</v>
      </c>
      <c r="F36" s="12" t="s">
        <v>168</v>
      </c>
      <c r="G36" s="14" t="s">
        <v>42</v>
      </c>
      <c r="H36" s="15" t="s">
        <v>42</v>
      </c>
      <c r="J36" s="2" t="str">
        <f t="shared" si="0"/>
        <v>N</v>
      </c>
    </row>
    <row r="37" spans="1:19" ht="13">
      <c r="A37" s="11" t="s">
        <v>169</v>
      </c>
      <c r="B37" s="12" t="s">
        <v>170</v>
      </c>
      <c r="C37" s="12" t="s">
        <v>40</v>
      </c>
      <c r="D37" s="12">
        <v>2009</v>
      </c>
      <c r="E37" s="13">
        <v>40037</v>
      </c>
      <c r="F37" s="12" t="s">
        <v>171</v>
      </c>
      <c r="G37" s="14" t="s">
        <v>42</v>
      </c>
      <c r="H37" s="15" t="s">
        <v>42</v>
      </c>
      <c r="J37" s="2" t="str">
        <f t="shared" si="0"/>
        <v>N</v>
      </c>
    </row>
    <row r="38" spans="1:19" ht="13">
      <c r="A38" s="11" t="s">
        <v>172</v>
      </c>
      <c r="B38" s="12" t="s">
        <v>173</v>
      </c>
      <c r="C38" s="12" t="s">
        <v>40</v>
      </c>
      <c r="D38" s="12">
        <v>2015</v>
      </c>
      <c r="E38" s="13">
        <v>42130</v>
      </c>
      <c r="F38" s="12" t="s">
        <v>174</v>
      </c>
      <c r="G38" s="14" t="s">
        <v>47</v>
      </c>
      <c r="H38" s="15" t="s">
        <v>47</v>
      </c>
      <c r="J38" s="2" t="str">
        <f t="shared" si="0"/>
        <v>Y</v>
      </c>
      <c r="L38" s="14" t="s">
        <v>43</v>
      </c>
      <c r="M38" s="15" t="s">
        <v>43</v>
      </c>
      <c r="O38" s="2" t="str">
        <f>IF(COUNTIF(L38:N38, "Y")&gt;=2,"Y","N")</f>
        <v>N</v>
      </c>
    </row>
    <row r="39" spans="1:19" ht="13">
      <c r="A39" s="11" t="s">
        <v>175</v>
      </c>
      <c r="B39" s="12" t="s">
        <v>176</v>
      </c>
      <c r="C39" s="12" t="s">
        <v>40</v>
      </c>
      <c r="D39" s="12">
        <v>2003</v>
      </c>
      <c r="E39" s="13">
        <v>37962</v>
      </c>
      <c r="F39" s="12" t="s">
        <v>177</v>
      </c>
      <c r="G39" s="14" t="s">
        <v>43</v>
      </c>
      <c r="H39" s="15" t="s">
        <v>42</v>
      </c>
      <c r="J39" s="2" t="str">
        <f t="shared" si="0"/>
        <v>N</v>
      </c>
    </row>
    <row r="40" spans="1:19" ht="13">
      <c r="A40" s="11" t="s">
        <v>178</v>
      </c>
      <c r="B40" s="12" t="s">
        <v>179</v>
      </c>
      <c r="C40" s="12" t="s">
        <v>40</v>
      </c>
      <c r="D40" s="12">
        <v>2025</v>
      </c>
      <c r="E40" s="13">
        <v>45763</v>
      </c>
      <c r="F40" s="12" t="s">
        <v>180</v>
      </c>
      <c r="G40" s="14" t="s">
        <v>61</v>
      </c>
      <c r="H40" s="15" t="s">
        <v>61</v>
      </c>
      <c r="J40" s="2" t="str">
        <f t="shared" si="0"/>
        <v>N</v>
      </c>
    </row>
    <row r="41" spans="1:19" ht="13">
      <c r="A41" s="11" t="s">
        <v>181</v>
      </c>
      <c r="B41" s="12" t="s">
        <v>182</v>
      </c>
      <c r="C41" s="12" t="s">
        <v>56</v>
      </c>
      <c r="D41" s="12">
        <v>2010</v>
      </c>
      <c r="E41" s="18">
        <v>40238</v>
      </c>
      <c r="F41" s="12" t="s">
        <v>162</v>
      </c>
      <c r="G41" s="14" t="s">
        <v>43</v>
      </c>
      <c r="H41" s="15" t="s">
        <v>43</v>
      </c>
      <c r="J41" s="2" t="str">
        <f t="shared" si="0"/>
        <v>N</v>
      </c>
    </row>
    <row r="42" spans="1:19" ht="13">
      <c r="A42" s="11" t="s">
        <v>183</v>
      </c>
      <c r="B42" s="12" t="s">
        <v>184</v>
      </c>
      <c r="C42" s="12" t="s">
        <v>40</v>
      </c>
      <c r="D42" s="12">
        <v>2004</v>
      </c>
      <c r="E42" s="13">
        <v>38326</v>
      </c>
      <c r="F42" s="12" t="s">
        <v>185</v>
      </c>
      <c r="G42" s="14" t="s">
        <v>42</v>
      </c>
      <c r="H42" s="15" t="s">
        <v>42</v>
      </c>
      <c r="J42" s="2" t="str">
        <f t="shared" si="0"/>
        <v>N</v>
      </c>
    </row>
    <row r="43" spans="1:19" ht="13">
      <c r="A43" s="11" t="s">
        <v>186</v>
      </c>
      <c r="B43" s="12" t="s">
        <v>187</v>
      </c>
      <c r="C43" s="12" t="s">
        <v>40</v>
      </c>
      <c r="D43" s="12">
        <v>2025</v>
      </c>
      <c r="E43" s="13">
        <v>45918</v>
      </c>
      <c r="F43" s="12" t="s">
        <v>188</v>
      </c>
      <c r="G43" s="14" t="s">
        <v>42</v>
      </c>
      <c r="H43" s="15" t="s">
        <v>43</v>
      </c>
      <c r="J43" s="2" t="str">
        <f t="shared" si="0"/>
        <v>N</v>
      </c>
    </row>
    <row r="44" spans="1:19" ht="13">
      <c r="A44" s="11" t="s">
        <v>189</v>
      </c>
      <c r="B44" s="12" t="s">
        <v>190</v>
      </c>
      <c r="C44" s="12" t="s">
        <v>56</v>
      </c>
      <c r="D44" s="12">
        <v>2024</v>
      </c>
      <c r="E44" s="12">
        <v>2024</v>
      </c>
      <c r="F44" s="12" t="s">
        <v>131</v>
      </c>
      <c r="G44" s="14" t="s">
        <v>42</v>
      </c>
      <c r="H44" s="15" t="s">
        <v>43</v>
      </c>
      <c r="J44" s="2" t="str">
        <f t="shared" si="0"/>
        <v>N</v>
      </c>
    </row>
    <row r="45" spans="1:19" ht="13">
      <c r="A45" s="11" t="s">
        <v>191</v>
      </c>
      <c r="B45" s="12" t="s">
        <v>192</v>
      </c>
      <c r="C45" s="12" t="s">
        <v>40</v>
      </c>
      <c r="D45" s="12">
        <v>2023</v>
      </c>
      <c r="E45" s="13">
        <v>45220</v>
      </c>
      <c r="F45" s="12" t="s">
        <v>193</v>
      </c>
      <c r="G45" s="14" t="s">
        <v>42</v>
      </c>
      <c r="H45" s="15" t="s">
        <v>43</v>
      </c>
      <c r="J45" s="2" t="str">
        <f t="shared" si="0"/>
        <v>N</v>
      </c>
    </row>
    <row r="46" spans="1:19" ht="13">
      <c r="A46" s="11" t="s">
        <v>194</v>
      </c>
      <c r="B46" s="12" t="s">
        <v>136</v>
      </c>
      <c r="C46" s="12" t="s">
        <v>40</v>
      </c>
      <c r="D46" s="12">
        <v>2025</v>
      </c>
      <c r="E46" s="13">
        <v>45803</v>
      </c>
      <c r="F46" s="12" t="s">
        <v>195</v>
      </c>
      <c r="G46" s="14" t="s">
        <v>47</v>
      </c>
      <c r="H46" s="15" t="s">
        <v>47</v>
      </c>
      <c r="J46" s="2" t="str">
        <f t="shared" si="0"/>
        <v>Y</v>
      </c>
      <c r="L46" s="14" t="s">
        <v>43</v>
      </c>
      <c r="M46" s="15" t="s">
        <v>43</v>
      </c>
      <c r="O46" s="2" t="str">
        <f>IF(COUNTIF(L46:N46, "Y")&gt;=2,"Y","N")</f>
        <v>N</v>
      </c>
    </row>
    <row r="47" spans="1:19" ht="13">
      <c r="A47" s="11" t="s">
        <v>196</v>
      </c>
      <c r="B47" s="12" t="s">
        <v>197</v>
      </c>
      <c r="C47" s="12" t="s">
        <v>40</v>
      </c>
      <c r="D47" s="12">
        <v>2019</v>
      </c>
      <c r="E47" s="13">
        <v>43807</v>
      </c>
      <c r="F47" s="12" t="s">
        <v>198</v>
      </c>
      <c r="G47" s="14" t="s">
        <v>42</v>
      </c>
      <c r="H47" s="15" t="s">
        <v>42</v>
      </c>
      <c r="J47" s="2" t="str">
        <f t="shared" si="0"/>
        <v>N</v>
      </c>
    </row>
    <row r="48" spans="1:19" ht="13">
      <c r="A48" s="11" t="s">
        <v>199</v>
      </c>
      <c r="B48" s="12" t="s">
        <v>200</v>
      </c>
      <c r="C48" s="12" t="s">
        <v>56</v>
      </c>
      <c r="D48" s="12">
        <v>2025</v>
      </c>
      <c r="E48" s="18">
        <v>45717</v>
      </c>
      <c r="F48" s="12" t="s">
        <v>201</v>
      </c>
      <c r="G48" s="14" t="s">
        <v>42</v>
      </c>
      <c r="H48" s="15" t="s">
        <v>42</v>
      </c>
      <c r="J48" s="2" t="str">
        <f t="shared" si="0"/>
        <v>N</v>
      </c>
    </row>
    <row r="49" spans="1:23" ht="13">
      <c r="A49" s="11" t="s">
        <v>202</v>
      </c>
      <c r="B49" s="12" t="s">
        <v>203</v>
      </c>
      <c r="C49" s="12" t="s">
        <v>56</v>
      </c>
      <c r="D49" s="12">
        <v>2024</v>
      </c>
      <c r="E49" s="12">
        <v>2024</v>
      </c>
      <c r="F49" s="12" t="s">
        <v>204</v>
      </c>
      <c r="G49" s="14" t="s">
        <v>111</v>
      </c>
      <c r="H49" s="15" t="s">
        <v>111</v>
      </c>
      <c r="J49" s="2" t="str">
        <f t="shared" si="0"/>
        <v>N</v>
      </c>
    </row>
    <row r="50" spans="1:23" ht="13">
      <c r="A50" s="11" t="s">
        <v>205</v>
      </c>
      <c r="B50" s="12" t="s">
        <v>206</v>
      </c>
      <c r="C50" s="12" t="s">
        <v>56</v>
      </c>
      <c r="D50" s="12">
        <v>2024</v>
      </c>
      <c r="E50" s="12">
        <v>2024</v>
      </c>
      <c r="F50" s="12" t="s">
        <v>207</v>
      </c>
      <c r="G50" s="14" t="s">
        <v>43</v>
      </c>
      <c r="H50" s="15" t="s">
        <v>43</v>
      </c>
      <c r="J50" s="2" t="str">
        <f t="shared" si="0"/>
        <v>N</v>
      </c>
    </row>
    <row r="51" spans="1:23" ht="13">
      <c r="A51" s="11" t="s">
        <v>208</v>
      </c>
      <c r="B51" s="12" t="s">
        <v>209</v>
      </c>
      <c r="C51" s="12" t="s">
        <v>56</v>
      </c>
      <c r="D51" s="12">
        <v>2025</v>
      </c>
      <c r="E51" s="12">
        <v>2025</v>
      </c>
      <c r="F51" s="12" t="s">
        <v>210</v>
      </c>
      <c r="G51" s="14" t="s">
        <v>42</v>
      </c>
      <c r="H51" s="15" t="s">
        <v>42</v>
      </c>
      <c r="J51" s="2" t="str">
        <f t="shared" si="0"/>
        <v>N</v>
      </c>
    </row>
    <row r="52" spans="1:23" ht="13">
      <c r="A52" s="11" t="s">
        <v>211</v>
      </c>
      <c r="B52" s="12" t="s">
        <v>212</v>
      </c>
      <c r="C52" s="12" t="s">
        <v>56</v>
      </c>
      <c r="D52" s="12">
        <v>2025</v>
      </c>
      <c r="E52" s="12">
        <v>2025</v>
      </c>
      <c r="F52" s="12" t="s">
        <v>213</v>
      </c>
      <c r="G52" s="14" t="s">
        <v>43</v>
      </c>
      <c r="H52" s="15" t="s">
        <v>47</v>
      </c>
      <c r="I52" s="2" t="s">
        <v>47</v>
      </c>
      <c r="J52" s="2" t="str">
        <f t="shared" si="0"/>
        <v>Y</v>
      </c>
      <c r="L52" s="14" t="s">
        <v>47</v>
      </c>
      <c r="M52" s="15" t="s">
        <v>43</v>
      </c>
      <c r="N52" s="2" t="s">
        <v>43</v>
      </c>
      <c r="O52" s="2" t="str">
        <f>IF(COUNTIF(L52:N52, "Y")&gt;=2,"Y","N")</f>
        <v>N</v>
      </c>
      <c r="Q52" s="2"/>
      <c r="R52" s="2"/>
      <c r="S52" s="2"/>
      <c r="T52" s="2">
        <v>1</v>
      </c>
      <c r="U52" s="2" t="s">
        <v>214</v>
      </c>
      <c r="V52" s="2" t="s">
        <v>215</v>
      </c>
    </row>
    <row r="53" spans="1:23" ht="13">
      <c r="A53" s="11" t="s">
        <v>216</v>
      </c>
      <c r="B53" s="12" t="s">
        <v>217</v>
      </c>
      <c r="C53" s="12" t="s">
        <v>56</v>
      </c>
      <c r="D53" s="12">
        <v>2016</v>
      </c>
      <c r="E53" s="12">
        <v>2016</v>
      </c>
      <c r="F53" s="19"/>
      <c r="G53" s="14" t="s">
        <v>111</v>
      </c>
      <c r="H53" s="15" t="s">
        <v>111</v>
      </c>
      <c r="J53" s="2" t="str">
        <f t="shared" si="0"/>
        <v>N</v>
      </c>
    </row>
    <row r="54" spans="1:23" ht="13">
      <c r="A54" s="11" t="s">
        <v>218</v>
      </c>
      <c r="B54" s="12" t="s">
        <v>219</v>
      </c>
      <c r="C54" s="12" t="s">
        <v>56</v>
      </c>
      <c r="D54" s="12">
        <v>2025</v>
      </c>
      <c r="E54" s="12">
        <v>2025</v>
      </c>
      <c r="F54" s="12" t="s">
        <v>220</v>
      </c>
      <c r="G54" s="14" t="s">
        <v>221</v>
      </c>
      <c r="H54" s="15" t="s">
        <v>221</v>
      </c>
      <c r="J54" s="2" t="str">
        <f t="shared" si="0"/>
        <v>N</v>
      </c>
    </row>
    <row r="55" spans="1:23" ht="13">
      <c r="A55" s="11" t="s">
        <v>222</v>
      </c>
      <c r="B55" s="12" t="s">
        <v>223</v>
      </c>
      <c r="C55" s="12" t="s">
        <v>56</v>
      </c>
      <c r="D55" s="12">
        <v>2024</v>
      </c>
      <c r="E55" s="12">
        <v>2024</v>
      </c>
      <c r="F55" s="12" t="s">
        <v>224</v>
      </c>
      <c r="G55" s="14" t="s">
        <v>61</v>
      </c>
      <c r="H55" s="15" t="s">
        <v>61</v>
      </c>
      <c r="J55" s="2" t="str">
        <f t="shared" si="0"/>
        <v>N</v>
      </c>
    </row>
    <row r="56" spans="1:23" ht="13">
      <c r="A56" s="11" t="s">
        <v>225</v>
      </c>
      <c r="B56" s="12" t="s">
        <v>226</v>
      </c>
      <c r="C56" s="12" t="s">
        <v>56</v>
      </c>
      <c r="D56" s="12">
        <v>2015</v>
      </c>
      <c r="E56" s="12">
        <v>2015</v>
      </c>
      <c r="F56" s="19"/>
      <c r="G56" s="14" t="s">
        <v>119</v>
      </c>
      <c r="H56" s="15" t="s">
        <v>119</v>
      </c>
      <c r="J56" s="2" t="str">
        <f t="shared" si="0"/>
        <v>N</v>
      </c>
    </row>
    <row r="57" spans="1:23" ht="13">
      <c r="A57" s="11" t="s">
        <v>227</v>
      </c>
      <c r="B57" s="12" t="s">
        <v>228</v>
      </c>
      <c r="C57" s="12" t="s">
        <v>56</v>
      </c>
      <c r="D57" s="12">
        <v>2024</v>
      </c>
      <c r="E57" s="12">
        <v>2024</v>
      </c>
      <c r="F57" s="12" t="s">
        <v>229</v>
      </c>
      <c r="G57" s="14" t="s">
        <v>43</v>
      </c>
      <c r="H57" s="15" t="s">
        <v>43</v>
      </c>
      <c r="J57" s="2" t="str">
        <f t="shared" si="0"/>
        <v>N</v>
      </c>
    </row>
    <row r="58" spans="1:23" ht="13">
      <c r="A58" s="11" t="s">
        <v>230</v>
      </c>
      <c r="B58" s="12" t="s">
        <v>231</v>
      </c>
      <c r="C58" s="12" t="s">
        <v>56</v>
      </c>
      <c r="D58" s="12">
        <v>2022</v>
      </c>
      <c r="E58" s="12">
        <v>2022</v>
      </c>
      <c r="F58" s="12" t="s">
        <v>232</v>
      </c>
      <c r="G58" s="14" t="s">
        <v>111</v>
      </c>
      <c r="H58" s="15" t="s">
        <v>43</v>
      </c>
      <c r="J58" s="2" t="str">
        <f t="shared" si="0"/>
        <v>N</v>
      </c>
    </row>
    <row r="59" spans="1:23" ht="13">
      <c r="A59" s="11" t="s">
        <v>233</v>
      </c>
      <c r="B59" s="12" t="s">
        <v>234</v>
      </c>
      <c r="C59" s="12" t="s">
        <v>56</v>
      </c>
      <c r="D59" s="12">
        <v>2025</v>
      </c>
      <c r="E59" s="12">
        <v>2025</v>
      </c>
      <c r="F59" s="12" t="s">
        <v>235</v>
      </c>
      <c r="G59" s="14" t="s">
        <v>42</v>
      </c>
      <c r="H59" s="15" t="s">
        <v>43</v>
      </c>
      <c r="J59" s="2" t="str">
        <f t="shared" si="0"/>
        <v>N</v>
      </c>
    </row>
    <row r="60" spans="1:23" ht="13">
      <c r="A60" s="11" t="s">
        <v>236</v>
      </c>
      <c r="B60" s="12" t="s">
        <v>237</v>
      </c>
      <c r="C60" s="12" t="s">
        <v>56</v>
      </c>
      <c r="D60" s="12">
        <v>2025</v>
      </c>
      <c r="E60" s="12">
        <v>2025</v>
      </c>
      <c r="F60" s="12" t="s">
        <v>238</v>
      </c>
      <c r="G60" s="14" t="s">
        <v>43</v>
      </c>
      <c r="H60" s="15" t="s">
        <v>47</v>
      </c>
      <c r="I60" s="2" t="s">
        <v>47</v>
      </c>
      <c r="J60" s="2" t="str">
        <f t="shared" si="0"/>
        <v>Y</v>
      </c>
      <c r="L60" s="14" t="s">
        <v>43</v>
      </c>
      <c r="M60" s="15" t="s">
        <v>47</v>
      </c>
      <c r="N60" s="2" t="s">
        <v>43</v>
      </c>
      <c r="O60" s="2" t="str">
        <f>IF(COUNTIF(L60:N60, "Y")&gt;=2,"Y","N")</f>
        <v>N</v>
      </c>
      <c r="Q60" s="2"/>
      <c r="R60" s="2"/>
      <c r="S60" s="2"/>
      <c r="T60" s="2">
        <v>7</v>
      </c>
      <c r="U60" s="2" t="s">
        <v>239</v>
      </c>
      <c r="V60" s="2" t="s">
        <v>240</v>
      </c>
      <c r="W60" s="2" t="s">
        <v>241</v>
      </c>
    </row>
    <row r="61" spans="1:23" ht="13">
      <c r="A61" s="11" t="s">
        <v>242</v>
      </c>
      <c r="B61" s="12" t="s">
        <v>243</v>
      </c>
      <c r="C61" s="12" t="s">
        <v>56</v>
      </c>
      <c r="D61" s="12">
        <v>2024</v>
      </c>
      <c r="E61" s="12">
        <v>2024</v>
      </c>
      <c r="F61" s="12" t="s">
        <v>244</v>
      </c>
      <c r="G61" s="14" t="s">
        <v>43</v>
      </c>
      <c r="H61" s="15" t="s">
        <v>43</v>
      </c>
      <c r="J61" s="2" t="str">
        <f t="shared" si="0"/>
        <v>N</v>
      </c>
    </row>
    <row r="62" spans="1:23" ht="13">
      <c r="A62" s="11" t="s">
        <v>245</v>
      </c>
      <c r="B62" s="12" t="s">
        <v>246</v>
      </c>
      <c r="C62" s="12" t="s">
        <v>56</v>
      </c>
      <c r="D62" s="12">
        <v>2025</v>
      </c>
      <c r="E62" s="12">
        <v>2025</v>
      </c>
      <c r="F62" s="12" t="s">
        <v>247</v>
      </c>
      <c r="G62" s="14" t="s">
        <v>221</v>
      </c>
      <c r="H62" s="15" t="s">
        <v>221</v>
      </c>
      <c r="J62" s="2" t="str">
        <f t="shared" si="0"/>
        <v>N</v>
      </c>
    </row>
    <row r="63" spans="1:23" ht="13">
      <c r="A63" s="11" t="s">
        <v>248</v>
      </c>
      <c r="B63" s="12" t="s">
        <v>249</v>
      </c>
      <c r="C63" s="12" t="s">
        <v>56</v>
      </c>
      <c r="D63" s="12">
        <v>2024</v>
      </c>
      <c r="E63" s="12">
        <v>2024</v>
      </c>
      <c r="F63" s="12" t="s">
        <v>250</v>
      </c>
      <c r="G63" s="14" t="s">
        <v>47</v>
      </c>
      <c r="H63" s="15" t="s">
        <v>47</v>
      </c>
      <c r="J63" s="2" t="str">
        <f t="shared" si="0"/>
        <v>Y</v>
      </c>
      <c r="L63" s="14" t="s">
        <v>43</v>
      </c>
      <c r="M63" s="15" t="s">
        <v>43</v>
      </c>
      <c r="O63" s="2" t="str">
        <f>IF(COUNTIF(L63:N63, "Y")&gt;=2,"Y","N")</f>
        <v>N</v>
      </c>
    </row>
    <row r="64" spans="1:23" ht="13">
      <c r="A64" s="11" t="s">
        <v>251</v>
      </c>
      <c r="B64" s="12" t="s">
        <v>252</v>
      </c>
      <c r="C64" s="12" t="s">
        <v>253</v>
      </c>
      <c r="D64" s="12">
        <v>2021</v>
      </c>
      <c r="E64" s="12">
        <v>2021</v>
      </c>
      <c r="F64" s="19"/>
      <c r="G64" s="14" t="s">
        <v>119</v>
      </c>
      <c r="H64" s="15" t="s">
        <v>119</v>
      </c>
      <c r="J64" s="2" t="str">
        <f t="shared" si="0"/>
        <v>N</v>
      </c>
    </row>
    <row r="65" spans="1:22" ht="13">
      <c r="A65" s="11" t="s">
        <v>254</v>
      </c>
      <c r="B65" s="12" t="s">
        <v>255</v>
      </c>
      <c r="C65" s="12" t="s">
        <v>56</v>
      </c>
      <c r="D65" s="12">
        <v>2006</v>
      </c>
      <c r="E65" s="18">
        <v>38961</v>
      </c>
      <c r="F65" s="12" t="s">
        <v>256</v>
      </c>
      <c r="G65" s="14" t="s">
        <v>43</v>
      </c>
      <c r="H65" s="15" t="s">
        <v>47</v>
      </c>
      <c r="I65" s="2" t="s">
        <v>47</v>
      </c>
      <c r="J65" s="2" t="str">
        <f t="shared" si="0"/>
        <v>Y</v>
      </c>
      <c r="L65" s="14" t="s">
        <v>47</v>
      </c>
      <c r="M65" s="15" t="s">
        <v>43</v>
      </c>
      <c r="N65" s="2" t="s">
        <v>43</v>
      </c>
      <c r="O65" s="2" t="str">
        <f>IF(COUNTIF(L65:N65, "Y")&gt;=2,"Y","N")</f>
        <v>N</v>
      </c>
      <c r="Q65" s="2"/>
      <c r="R65" s="2"/>
      <c r="S65" s="2"/>
      <c r="T65" s="2">
        <v>6</v>
      </c>
      <c r="U65" s="2" t="s">
        <v>239</v>
      </c>
      <c r="V65" s="2" t="s">
        <v>257</v>
      </c>
    </row>
    <row r="66" spans="1:22" ht="13">
      <c r="A66" s="11" t="s">
        <v>258</v>
      </c>
      <c r="B66" s="12" t="s">
        <v>259</v>
      </c>
      <c r="C66" s="12" t="s">
        <v>56</v>
      </c>
      <c r="D66" s="12">
        <v>2022</v>
      </c>
      <c r="E66" s="12">
        <v>2022</v>
      </c>
      <c r="F66" s="12" t="s">
        <v>260</v>
      </c>
      <c r="G66" s="14" t="s">
        <v>221</v>
      </c>
      <c r="H66" s="15" t="s">
        <v>221</v>
      </c>
      <c r="J66" s="2" t="str">
        <f t="shared" si="0"/>
        <v>N</v>
      </c>
    </row>
    <row r="67" spans="1:22" ht="13">
      <c r="A67" s="11" t="s">
        <v>261</v>
      </c>
      <c r="B67" s="12" t="s">
        <v>262</v>
      </c>
      <c r="C67" s="12" t="s">
        <v>253</v>
      </c>
      <c r="D67" s="12">
        <v>2013</v>
      </c>
      <c r="E67" s="12">
        <v>2013</v>
      </c>
      <c r="F67" s="19"/>
      <c r="G67" s="14" t="s">
        <v>119</v>
      </c>
      <c r="H67" s="15" t="s">
        <v>119</v>
      </c>
      <c r="J67" s="2" t="str">
        <f t="shared" si="0"/>
        <v>N</v>
      </c>
    </row>
    <row r="68" spans="1:22" ht="13">
      <c r="A68" s="11" t="s">
        <v>263</v>
      </c>
      <c r="B68" s="12" t="s">
        <v>264</v>
      </c>
      <c r="C68" s="12" t="s">
        <v>56</v>
      </c>
      <c r="D68" s="12">
        <v>2010</v>
      </c>
      <c r="E68" s="18">
        <v>40238</v>
      </c>
      <c r="F68" s="12" t="s">
        <v>265</v>
      </c>
      <c r="G68" s="14" t="s">
        <v>47</v>
      </c>
      <c r="H68" s="15" t="s">
        <v>47</v>
      </c>
      <c r="J68" s="2" t="str">
        <f t="shared" si="0"/>
        <v>Y</v>
      </c>
      <c r="L68" s="14" t="s">
        <v>43</v>
      </c>
      <c r="M68" s="15" t="s">
        <v>43</v>
      </c>
      <c r="O68" s="2" t="str">
        <f t="shared" ref="O68:O69" si="6">IF(COUNTIF(L68:N68, "Y")&gt;=2,"Y","N")</f>
        <v>N</v>
      </c>
    </row>
    <row r="69" spans="1:22" ht="13">
      <c r="A69" s="11" t="s">
        <v>266</v>
      </c>
      <c r="B69" s="12" t="s">
        <v>267</v>
      </c>
      <c r="C69" s="12" t="s">
        <v>56</v>
      </c>
      <c r="D69" s="12">
        <v>2009</v>
      </c>
      <c r="E69" s="18">
        <v>40057</v>
      </c>
      <c r="F69" s="12" t="s">
        <v>268</v>
      </c>
      <c r="G69" s="14" t="s">
        <v>47</v>
      </c>
      <c r="H69" s="15" t="s">
        <v>47</v>
      </c>
      <c r="J69" s="2" t="str">
        <f t="shared" si="0"/>
        <v>Y</v>
      </c>
      <c r="L69" s="14" t="s">
        <v>43</v>
      </c>
      <c r="M69" s="2" t="s">
        <v>43</v>
      </c>
      <c r="N69" s="20" t="s">
        <v>47</v>
      </c>
      <c r="O69" s="2" t="str">
        <f t="shared" si="6"/>
        <v>N</v>
      </c>
      <c r="P69" s="21"/>
      <c r="Q69" s="2"/>
      <c r="R69" s="2"/>
      <c r="S69" s="2"/>
      <c r="T69" s="2">
        <v>6</v>
      </c>
      <c r="U69" s="21" t="s">
        <v>239</v>
      </c>
    </row>
    <row r="70" spans="1:22" ht="13">
      <c r="A70" s="11" t="s">
        <v>269</v>
      </c>
      <c r="B70" s="12" t="s">
        <v>270</v>
      </c>
      <c r="C70" s="12" t="s">
        <v>56</v>
      </c>
      <c r="D70" s="12">
        <v>2025</v>
      </c>
      <c r="E70" s="12">
        <v>2025</v>
      </c>
      <c r="F70" s="12" t="s">
        <v>271</v>
      </c>
      <c r="G70" s="14" t="s">
        <v>221</v>
      </c>
      <c r="H70" s="15" t="s">
        <v>221</v>
      </c>
      <c r="J70" s="2" t="str">
        <f t="shared" si="0"/>
        <v>N</v>
      </c>
    </row>
    <row r="71" spans="1:22" ht="13">
      <c r="A71" s="11" t="s">
        <v>272</v>
      </c>
      <c r="B71" s="12" t="s">
        <v>273</v>
      </c>
      <c r="C71" s="12" t="s">
        <v>253</v>
      </c>
      <c r="D71" s="12">
        <v>2023</v>
      </c>
      <c r="E71" s="12">
        <v>2023</v>
      </c>
      <c r="F71" s="19"/>
      <c r="G71" s="14" t="s">
        <v>119</v>
      </c>
      <c r="H71" s="15" t="s">
        <v>119</v>
      </c>
      <c r="J71" s="2" t="str">
        <f t="shared" si="0"/>
        <v>N</v>
      </c>
    </row>
    <row r="72" spans="1:22" ht="13">
      <c r="A72" s="11" t="s">
        <v>274</v>
      </c>
      <c r="B72" s="12" t="s">
        <v>275</v>
      </c>
      <c r="C72" s="12" t="s">
        <v>253</v>
      </c>
      <c r="D72" s="12">
        <v>2017</v>
      </c>
      <c r="E72" s="12">
        <v>2017</v>
      </c>
      <c r="F72" s="19"/>
      <c r="G72" s="14" t="s">
        <v>111</v>
      </c>
      <c r="H72" s="15" t="s">
        <v>111</v>
      </c>
      <c r="J72" s="2" t="str">
        <f t="shared" si="0"/>
        <v>N</v>
      </c>
    </row>
    <row r="73" spans="1:22" ht="13">
      <c r="A73" s="11" t="s">
        <v>276</v>
      </c>
      <c r="B73" s="12" t="s">
        <v>277</v>
      </c>
      <c r="C73" s="12" t="s">
        <v>253</v>
      </c>
      <c r="D73" s="12">
        <v>2020</v>
      </c>
      <c r="E73" s="12">
        <v>2020</v>
      </c>
      <c r="F73" s="19"/>
      <c r="G73" s="14" t="s">
        <v>119</v>
      </c>
      <c r="H73" s="15" t="s">
        <v>119</v>
      </c>
      <c r="J73" s="2" t="str">
        <f t="shared" si="0"/>
        <v>N</v>
      </c>
    </row>
    <row r="74" spans="1:22" ht="13">
      <c r="A74" s="11" t="s">
        <v>278</v>
      </c>
      <c r="B74" s="12" t="s">
        <v>279</v>
      </c>
      <c r="C74" s="12" t="s">
        <v>56</v>
      </c>
      <c r="D74" s="12">
        <v>2019</v>
      </c>
      <c r="E74" s="12">
        <v>2019</v>
      </c>
      <c r="F74" s="19"/>
      <c r="G74" s="14" t="s">
        <v>61</v>
      </c>
      <c r="H74" s="15" t="s">
        <v>61</v>
      </c>
      <c r="J74" s="2" t="str">
        <f t="shared" si="0"/>
        <v>N</v>
      </c>
    </row>
    <row r="75" spans="1:22" ht="13">
      <c r="A75" s="11" t="s">
        <v>280</v>
      </c>
      <c r="B75" s="12" t="s">
        <v>281</v>
      </c>
      <c r="C75" s="12" t="s">
        <v>56</v>
      </c>
      <c r="D75" s="12">
        <v>2015</v>
      </c>
      <c r="E75" s="12">
        <v>2015</v>
      </c>
      <c r="F75" s="19"/>
      <c r="G75" s="14" t="s">
        <v>42</v>
      </c>
      <c r="H75" s="15" t="s">
        <v>43</v>
      </c>
      <c r="J75" s="2" t="str">
        <f t="shared" si="0"/>
        <v>N</v>
      </c>
    </row>
    <row r="76" spans="1:22" ht="13">
      <c r="A76" s="11" t="s">
        <v>282</v>
      </c>
      <c r="B76" s="12" t="s">
        <v>283</v>
      </c>
      <c r="C76" s="12" t="s">
        <v>56</v>
      </c>
      <c r="D76" s="12">
        <v>2017</v>
      </c>
      <c r="E76" s="18">
        <v>42767</v>
      </c>
      <c r="F76" s="12" t="s">
        <v>284</v>
      </c>
      <c r="G76" s="14" t="s">
        <v>43</v>
      </c>
      <c r="H76" s="15" t="s">
        <v>43</v>
      </c>
      <c r="J76" s="2" t="str">
        <f t="shared" si="0"/>
        <v>N</v>
      </c>
    </row>
    <row r="77" spans="1:22" ht="13">
      <c r="A77" s="11" t="s">
        <v>285</v>
      </c>
      <c r="B77" s="12" t="s">
        <v>286</v>
      </c>
      <c r="C77" s="12" t="s">
        <v>56</v>
      </c>
      <c r="D77" s="12">
        <v>2014</v>
      </c>
      <c r="E77" s="12">
        <v>2014</v>
      </c>
      <c r="F77" s="12" t="s">
        <v>287</v>
      </c>
      <c r="G77" s="14" t="s">
        <v>61</v>
      </c>
      <c r="H77" s="15" t="s">
        <v>61</v>
      </c>
      <c r="J77" s="2" t="str">
        <f t="shared" si="0"/>
        <v>N</v>
      </c>
    </row>
    <row r="78" spans="1:22" ht="13">
      <c r="A78" s="11" t="s">
        <v>288</v>
      </c>
      <c r="B78" s="12" t="s">
        <v>289</v>
      </c>
      <c r="C78" s="12" t="s">
        <v>253</v>
      </c>
      <c r="D78" s="12">
        <v>2010</v>
      </c>
      <c r="E78" s="12">
        <v>2010</v>
      </c>
      <c r="F78" s="19"/>
      <c r="G78" s="14" t="s">
        <v>221</v>
      </c>
      <c r="H78" s="15" t="s">
        <v>221</v>
      </c>
      <c r="J78" s="2" t="str">
        <f t="shared" si="0"/>
        <v>N</v>
      </c>
    </row>
    <row r="79" spans="1:22" ht="13">
      <c r="A79" s="11" t="s">
        <v>290</v>
      </c>
      <c r="B79" s="12" t="s">
        <v>291</v>
      </c>
      <c r="C79" s="12" t="s">
        <v>56</v>
      </c>
      <c r="D79" s="12">
        <v>2020</v>
      </c>
      <c r="E79" s="12">
        <v>2020</v>
      </c>
      <c r="F79" s="12" t="s">
        <v>292</v>
      </c>
      <c r="G79" s="14" t="s">
        <v>221</v>
      </c>
      <c r="H79" s="15" t="s">
        <v>221</v>
      </c>
      <c r="J79" s="2" t="str">
        <f t="shared" si="0"/>
        <v>N</v>
      </c>
    </row>
    <row r="80" spans="1:22" ht="13">
      <c r="A80" s="11" t="s">
        <v>293</v>
      </c>
      <c r="B80" s="12" t="s">
        <v>294</v>
      </c>
      <c r="C80" s="12" t="s">
        <v>56</v>
      </c>
      <c r="D80" s="12">
        <v>2007</v>
      </c>
      <c r="E80" s="18">
        <v>39326</v>
      </c>
      <c r="F80" s="12" t="s">
        <v>295</v>
      </c>
      <c r="G80" s="14" t="s">
        <v>43</v>
      </c>
      <c r="H80" s="15" t="s">
        <v>47</v>
      </c>
      <c r="I80" s="2" t="s">
        <v>43</v>
      </c>
      <c r="J80" s="2" t="str">
        <f t="shared" si="0"/>
        <v>N</v>
      </c>
    </row>
    <row r="81" spans="1:22" ht="13">
      <c r="A81" s="11" t="s">
        <v>296</v>
      </c>
      <c r="B81" s="12" t="s">
        <v>297</v>
      </c>
      <c r="C81" s="12" t="s">
        <v>253</v>
      </c>
      <c r="D81" s="12">
        <v>2003</v>
      </c>
      <c r="E81" s="12">
        <v>2003</v>
      </c>
      <c r="F81" s="19"/>
      <c r="G81" s="14" t="s">
        <v>119</v>
      </c>
      <c r="H81" s="15" t="s">
        <v>119</v>
      </c>
      <c r="J81" s="2" t="str">
        <f t="shared" si="0"/>
        <v>N</v>
      </c>
    </row>
    <row r="82" spans="1:22" ht="13">
      <c r="A82" s="11" t="s">
        <v>298</v>
      </c>
      <c r="B82" s="12" t="s">
        <v>299</v>
      </c>
      <c r="C82" s="12" t="s">
        <v>56</v>
      </c>
      <c r="D82" s="12">
        <v>2018</v>
      </c>
      <c r="E82" s="13">
        <v>43221</v>
      </c>
      <c r="F82" s="12" t="s">
        <v>300</v>
      </c>
      <c r="G82" s="14" t="s">
        <v>47</v>
      </c>
      <c r="H82" s="15" t="s">
        <v>47</v>
      </c>
      <c r="J82" s="2" t="str">
        <f t="shared" si="0"/>
        <v>Y</v>
      </c>
      <c r="L82" s="14" t="s">
        <v>43</v>
      </c>
      <c r="N82" s="20" t="s">
        <v>43</v>
      </c>
      <c r="O82" s="2" t="str">
        <f>IF(COUNTIF(L82:N82, "Y")&gt;=2,"Y","N")</f>
        <v>N</v>
      </c>
      <c r="P82" s="21"/>
    </row>
    <row r="83" spans="1:22" ht="13">
      <c r="A83" s="11" t="s">
        <v>301</v>
      </c>
      <c r="B83" s="12" t="s">
        <v>302</v>
      </c>
      <c r="C83" s="12" t="s">
        <v>56</v>
      </c>
      <c r="D83" s="12">
        <v>2011</v>
      </c>
      <c r="E83" s="12">
        <v>2011</v>
      </c>
      <c r="F83" s="19"/>
      <c r="G83" s="14" t="s">
        <v>111</v>
      </c>
      <c r="I83" s="22" t="s">
        <v>111</v>
      </c>
      <c r="J83" s="2" t="str">
        <f t="shared" si="0"/>
        <v>N</v>
      </c>
    </row>
    <row r="84" spans="1:22" ht="13">
      <c r="A84" s="11" t="s">
        <v>303</v>
      </c>
      <c r="B84" s="12" t="s">
        <v>304</v>
      </c>
      <c r="C84" s="12" t="s">
        <v>56</v>
      </c>
      <c r="D84" s="12">
        <v>2019</v>
      </c>
      <c r="E84" s="12">
        <v>2019</v>
      </c>
      <c r="F84" s="19"/>
      <c r="G84" s="14" t="s">
        <v>119</v>
      </c>
      <c r="I84" s="22" t="s">
        <v>119</v>
      </c>
      <c r="J84" s="2" t="str">
        <f t="shared" si="0"/>
        <v>N</v>
      </c>
    </row>
    <row r="85" spans="1:22" ht="13">
      <c r="A85" s="11" t="s">
        <v>305</v>
      </c>
      <c r="B85" s="12" t="s">
        <v>306</v>
      </c>
      <c r="C85" s="12" t="s">
        <v>56</v>
      </c>
      <c r="D85" s="12">
        <v>2020</v>
      </c>
      <c r="E85" s="12">
        <v>2020</v>
      </c>
      <c r="F85" s="19"/>
      <c r="G85" s="14" t="s">
        <v>119</v>
      </c>
      <c r="I85" s="22" t="s">
        <v>119</v>
      </c>
      <c r="J85" s="2" t="str">
        <f t="shared" si="0"/>
        <v>N</v>
      </c>
    </row>
    <row r="86" spans="1:22" ht="13">
      <c r="A86" s="11" t="s">
        <v>307</v>
      </c>
      <c r="B86" s="12" t="s">
        <v>308</v>
      </c>
      <c r="C86" s="12" t="s">
        <v>56</v>
      </c>
      <c r="D86" s="12">
        <v>2008</v>
      </c>
      <c r="E86" s="12">
        <v>2008</v>
      </c>
      <c r="F86" s="19"/>
      <c r="G86" s="14" t="s">
        <v>111</v>
      </c>
      <c r="I86" s="22" t="s">
        <v>111</v>
      </c>
      <c r="J86" s="2" t="str">
        <f t="shared" si="0"/>
        <v>N</v>
      </c>
    </row>
    <row r="87" spans="1:22" ht="13">
      <c r="A87" s="11" t="s">
        <v>309</v>
      </c>
      <c r="B87" s="12" t="s">
        <v>310</v>
      </c>
      <c r="C87" s="12" t="s">
        <v>56</v>
      </c>
      <c r="D87" s="12">
        <v>2023</v>
      </c>
      <c r="E87" s="12">
        <v>2023</v>
      </c>
      <c r="F87" s="19"/>
      <c r="G87" s="14" t="s">
        <v>61</v>
      </c>
      <c r="I87" s="22" t="s">
        <v>61</v>
      </c>
      <c r="J87" s="2" t="str">
        <f t="shared" si="0"/>
        <v>N</v>
      </c>
    </row>
    <row r="88" spans="1:22" ht="13">
      <c r="A88" s="11" t="s">
        <v>311</v>
      </c>
      <c r="B88" s="12" t="s">
        <v>312</v>
      </c>
      <c r="C88" s="12" t="s">
        <v>56</v>
      </c>
      <c r="D88" s="12">
        <v>2025</v>
      </c>
      <c r="E88" s="12">
        <v>2025</v>
      </c>
      <c r="F88" s="12" t="s">
        <v>313</v>
      </c>
      <c r="G88" s="14" t="s">
        <v>47</v>
      </c>
      <c r="I88" s="22" t="s">
        <v>47</v>
      </c>
      <c r="J88" s="2" t="str">
        <f t="shared" si="0"/>
        <v>Y</v>
      </c>
      <c r="L88" s="14" t="s">
        <v>47</v>
      </c>
      <c r="M88" s="2" t="s">
        <v>42</v>
      </c>
      <c r="N88" s="20" t="s">
        <v>42</v>
      </c>
      <c r="O88" s="2" t="str">
        <f>IF(COUNTIF(L88:N88, "Y")&gt;=2,"Y","N")</f>
        <v>N</v>
      </c>
      <c r="P88" s="21"/>
      <c r="Q88" s="2"/>
      <c r="R88" s="2"/>
      <c r="S88" s="2"/>
      <c r="T88" s="2">
        <v>4</v>
      </c>
      <c r="U88" s="2" t="s">
        <v>314</v>
      </c>
      <c r="V88" s="2" t="s">
        <v>315</v>
      </c>
    </row>
    <row r="89" spans="1:22" ht="13">
      <c r="A89" s="11" t="s">
        <v>316</v>
      </c>
      <c r="B89" s="12" t="s">
        <v>317</v>
      </c>
      <c r="C89" s="12" t="s">
        <v>56</v>
      </c>
      <c r="D89" s="12">
        <v>2024</v>
      </c>
      <c r="E89" s="12">
        <v>2024</v>
      </c>
      <c r="F89" s="12" t="s">
        <v>318</v>
      </c>
      <c r="G89" s="14" t="s">
        <v>111</v>
      </c>
      <c r="I89" s="22" t="s">
        <v>111</v>
      </c>
      <c r="J89" s="2" t="str">
        <f t="shared" si="0"/>
        <v>N</v>
      </c>
    </row>
    <row r="90" spans="1:22" ht="13">
      <c r="A90" s="11" t="s">
        <v>319</v>
      </c>
      <c r="B90" s="12" t="s">
        <v>320</v>
      </c>
      <c r="C90" s="12" t="s">
        <v>56</v>
      </c>
      <c r="D90" s="12">
        <v>2000</v>
      </c>
      <c r="E90" s="18">
        <v>36678</v>
      </c>
      <c r="F90" s="12" t="s">
        <v>321</v>
      </c>
      <c r="G90" s="14" t="s">
        <v>42</v>
      </c>
      <c r="I90" s="22" t="s">
        <v>42</v>
      </c>
      <c r="J90" s="2" t="str">
        <f t="shared" si="0"/>
        <v>N</v>
      </c>
    </row>
    <row r="91" spans="1:22" ht="13">
      <c r="A91" s="11" t="s">
        <v>322</v>
      </c>
      <c r="B91" s="12" t="s">
        <v>323</v>
      </c>
      <c r="C91" s="12" t="s">
        <v>56</v>
      </c>
      <c r="D91" s="12">
        <v>2025</v>
      </c>
      <c r="E91" s="12">
        <v>2025</v>
      </c>
      <c r="F91" s="12" t="s">
        <v>324</v>
      </c>
      <c r="G91" s="14" t="s">
        <v>43</v>
      </c>
      <c r="I91" s="22" t="s">
        <v>43</v>
      </c>
      <c r="J91" s="2" t="str">
        <f t="shared" si="0"/>
        <v>N</v>
      </c>
    </row>
    <row r="92" spans="1:22" ht="13">
      <c r="A92" s="11" t="s">
        <v>325</v>
      </c>
      <c r="B92" s="12" t="s">
        <v>326</v>
      </c>
      <c r="C92" s="12" t="s">
        <v>56</v>
      </c>
      <c r="D92" s="12">
        <v>2008</v>
      </c>
      <c r="E92" s="12">
        <v>2008</v>
      </c>
      <c r="F92" s="19"/>
      <c r="G92" s="14" t="s">
        <v>111</v>
      </c>
      <c r="I92" s="22" t="s">
        <v>111</v>
      </c>
      <c r="J92" s="2" t="str">
        <f t="shared" si="0"/>
        <v>N</v>
      </c>
    </row>
    <row r="93" spans="1:22" ht="13">
      <c r="A93" s="11" t="s">
        <v>327</v>
      </c>
      <c r="B93" s="12" t="s">
        <v>328</v>
      </c>
      <c r="C93" s="12" t="s">
        <v>253</v>
      </c>
      <c r="D93" s="12">
        <v>2019</v>
      </c>
      <c r="E93" s="12">
        <v>2019</v>
      </c>
      <c r="F93" s="19"/>
      <c r="G93" s="14" t="s">
        <v>119</v>
      </c>
      <c r="I93" s="22" t="s">
        <v>119</v>
      </c>
      <c r="J93" s="2" t="str">
        <f t="shared" si="0"/>
        <v>N</v>
      </c>
    </row>
    <row r="94" spans="1:22" ht="13">
      <c r="A94" s="11" t="s">
        <v>329</v>
      </c>
      <c r="B94" s="12" t="s">
        <v>330</v>
      </c>
      <c r="C94" s="12" t="s">
        <v>56</v>
      </c>
      <c r="D94" s="12">
        <v>2009</v>
      </c>
      <c r="E94" s="12">
        <v>2009</v>
      </c>
      <c r="F94" s="19"/>
      <c r="G94" s="14" t="s">
        <v>111</v>
      </c>
      <c r="I94" s="22" t="s">
        <v>111</v>
      </c>
      <c r="J94" s="2" t="str">
        <f t="shared" si="0"/>
        <v>N</v>
      </c>
    </row>
    <row r="95" spans="1:22" ht="13">
      <c r="A95" s="11" t="s">
        <v>331</v>
      </c>
      <c r="B95" s="12" t="s">
        <v>332</v>
      </c>
      <c r="C95" s="12" t="s">
        <v>40</v>
      </c>
      <c r="D95" s="12">
        <v>2024</v>
      </c>
      <c r="E95" s="12">
        <v>2024</v>
      </c>
      <c r="F95" s="12" t="s">
        <v>333</v>
      </c>
      <c r="G95" s="14" t="s">
        <v>61</v>
      </c>
      <c r="H95" s="2" t="s">
        <v>47</v>
      </c>
      <c r="I95" s="22" t="s">
        <v>47</v>
      </c>
      <c r="J95" s="2" t="str">
        <f t="shared" si="0"/>
        <v>Y</v>
      </c>
      <c r="L95" s="14" t="s">
        <v>61</v>
      </c>
      <c r="N95" s="20" t="s">
        <v>61</v>
      </c>
      <c r="O95" s="2" t="str">
        <f>IF(COUNTIF(L95:N95, "Y")&gt;=2,"Y","N")</f>
        <v>N</v>
      </c>
      <c r="P95" s="21"/>
    </row>
    <row r="96" spans="1:22" ht="13">
      <c r="A96" s="11" t="s">
        <v>334</v>
      </c>
      <c r="B96" s="12" t="s">
        <v>335</v>
      </c>
      <c r="C96" s="12" t="s">
        <v>56</v>
      </c>
      <c r="D96" s="12">
        <v>2025</v>
      </c>
      <c r="E96" s="18">
        <v>45809</v>
      </c>
      <c r="F96" s="12" t="s">
        <v>336</v>
      </c>
      <c r="G96" s="14" t="s">
        <v>43</v>
      </c>
      <c r="I96" s="22" t="s">
        <v>43</v>
      </c>
      <c r="J96" s="2" t="str">
        <f t="shared" si="0"/>
        <v>N</v>
      </c>
    </row>
    <row r="97" spans="1:22" ht="13">
      <c r="A97" s="11" t="s">
        <v>337</v>
      </c>
      <c r="B97" s="12" t="s">
        <v>338</v>
      </c>
      <c r="C97" s="12" t="s">
        <v>40</v>
      </c>
      <c r="D97" s="12">
        <v>2024</v>
      </c>
      <c r="E97" s="12">
        <v>2024</v>
      </c>
      <c r="F97" s="12" t="s">
        <v>339</v>
      </c>
      <c r="G97" s="14" t="s">
        <v>42</v>
      </c>
      <c r="I97" s="22" t="s">
        <v>42</v>
      </c>
      <c r="J97" s="2" t="str">
        <f t="shared" si="0"/>
        <v>N</v>
      </c>
    </row>
    <row r="98" spans="1:22" ht="13">
      <c r="A98" s="11" t="s">
        <v>340</v>
      </c>
      <c r="B98" s="12" t="s">
        <v>341</v>
      </c>
      <c r="C98" s="12" t="s">
        <v>40</v>
      </c>
      <c r="D98" s="12">
        <v>2025</v>
      </c>
      <c r="E98" s="12">
        <v>2025</v>
      </c>
      <c r="F98" s="12" t="s">
        <v>342</v>
      </c>
      <c r="G98" s="14" t="s">
        <v>43</v>
      </c>
      <c r="I98" s="22" t="s">
        <v>43</v>
      </c>
      <c r="J98" s="2" t="str">
        <f t="shared" si="0"/>
        <v>N</v>
      </c>
    </row>
    <row r="99" spans="1:22" ht="13">
      <c r="A99" s="11" t="s">
        <v>343</v>
      </c>
      <c r="B99" s="12" t="s">
        <v>344</v>
      </c>
      <c r="C99" s="12" t="s">
        <v>40</v>
      </c>
      <c r="D99" s="12">
        <v>2026</v>
      </c>
      <c r="E99" s="12">
        <v>2026</v>
      </c>
      <c r="F99" s="12" t="s">
        <v>345</v>
      </c>
      <c r="G99" s="14" t="s">
        <v>111</v>
      </c>
      <c r="I99" s="22" t="s">
        <v>42</v>
      </c>
      <c r="J99" s="2" t="str">
        <f t="shared" si="0"/>
        <v>N</v>
      </c>
    </row>
    <row r="100" spans="1:22" ht="13">
      <c r="A100" s="11" t="s">
        <v>346</v>
      </c>
      <c r="B100" s="12" t="s">
        <v>347</v>
      </c>
      <c r="C100" s="12" t="s">
        <v>40</v>
      </c>
      <c r="D100" s="12">
        <v>2024</v>
      </c>
      <c r="E100" s="12">
        <v>2024</v>
      </c>
      <c r="F100" s="12" t="s">
        <v>348</v>
      </c>
      <c r="G100" s="14" t="s">
        <v>43</v>
      </c>
      <c r="I100" s="22" t="s">
        <v>43</v>
      </c>
      <c r="J100" s="2" t="str">
        <f t="shared" si="0"/>
        <v>N</v>
      </c>
    </row>
    <row r="101" spans="1:22" ht="13">
      <c r="A101" s="11" t="s">
        <v>349</v>
      </c>
      <c r="B101" s="12" t="s">
        <v>350</v>
      </c>
      <c r="C101" s="12" t="s">
        <v>40</v>
      </c>
      <c r="D101" s="12">
        <v>2024</v>
      </c>
      <c r="E101" s="12">
        <v>2024</v>
      </c>
      <c r="F101" s="12" t="s">
        <v>351</v>
      </c>
      <c r="G101" s="14" t="s">
        <v>42</v>
      </c>
      <c r="I101" s="22" t="s">
        <v>42</v>
      </c>
      <c r="J101" s="2" t="str">
        <f t="shared" si="0"/>
        <v>N</v>
      </c>
    </row>
    <row r="102" spans="1:22" ht="13">
      <c r="A102" s="11" t="s">
        <v>352</v>
      </c>
      <c r="B102" s="12" t="s">
        <v>353</v>
      </c>
      <c r="C102" s="12" t="s">
        <v>56</v>
      </c>
      <c r="D102" s="12">
        <v>2025</v>
      </c>
      <c r="E102" s="17">
        <v>45992</v>
      </c>
      <c r="F102" s="12" t="s">
        <v>354</v>
      </c>
      <c r="G102" s="14" t="s">
        <v>43</v>
      </c>
      <c r="I102" s="22" t="s">
        <v>43</v>
      </c>
      <c r="J102" s="2" t="str">
        <f t="shared" si="0"/>
        <v>N</v>
      </c>
    </row>
    <row r="103" spans="1:22" ht="13">
      <c r="A103" s="11" t="s">
        <v>355</v>
      </c>
      <c r="B103" s="12" t="s">
        <v>356</v>
      </c>
      <c r="C103" s="12" t="s">
        <v>40</v>
      </c>
      <c r="D103" s="12">
        <v>2023</v>
      </c>
      <c r="E103" s="12">
        <v>2023</v>
      </c>
      <c r="F103" s="12" t="s">
        <v>357</v>
      </c>
      <c r="G103" s="14" t="s">
        <v>43</v>
      </c>
      <c r="I103" s="22" t="s">
        <v>43</v>
      </c>
      <c r="J103" s="2" t="str">
        <f t="shared" si="0"/>
        <v>N</v>
      </c>
    </row>
    <row r="104" spans="1:22" ht="13">
      <c r="A104" s="11" t="s">
        <v>358</v>
      </c>
      <c r="B104" s="12" t="s">
        <v>359</v>
      </c>
      <c r="C104" s="12" t="s">
        <v>40</v>
      </c>
      <c r="D104" s="12">
        <v>2020</v>
      </c>
      <c r="E104" s="12">
        <v>2020</v>
      </c>
      <c r="F104" s="12" t="s">
        <v>168</v>
      </c>
      <c r="G104" s="14" t="s">
        <v>47</v>
      </c>
      <c r="I104" s="22" t="s">
        <v>47</v>
      </c>
      <c r="J104" s="2" t="str">
        <f t="shared" si="0"/>
        <v>Y</v>
      </c>
      <c r="L104" s="14" t="s">
        <v>47</v>
      </c>
      <c r="N104" s="20" t="s">
        <v>47</v>
      </c>
      <c r="O104" s="2" t="s">
        <v>47</v>
      </c>
      <c r="P104" s="23" t="s">
        <v>360</v>
      </c>
      <c r="Q104" s="2" t="s">
        <v>66</v>
      </c>
      <c r="R104" s="2" t="s">
        <v>361</v>
      </c>
      <c r="S104" s="2" t="s">
        <v>68</v>
      </c>
      <c r="T104" s="2">
        <v>2</v>
      </c>
      <c r="U104" s="16" t="s">
        <v>69</v>
      </c>
      <c r="V104" s="2" t="s">
        <v>362</v>
      </c>
    </row>
    <row r="105" spans="1:22" ht="13">
      <c r="A105" s="11" t="s">
        <v>363</v>
      </c>
      <c r="B105" s="12" t="s">
        <v>364</v>
      </c>
      <c r="C105" s="12" t="s">
        <v>40</v>
      </c>
      <c r="D105" s="12">
        <v>2023</v>
      </c>
      <c r="E105" s="12">
        <v>2023</v>
      </c>
      <c r="F105" s="12" t="s">
        <v>365</v>
      </c>
      <c r="G105" s="14" t="s">
        <v>43</v>
      </c>
      <c r="I105" s="22" t="s">
        <v>43</v>
      </c>
      <c r="J105" s="2" t="str">
        <f t="shared" si="0"/>
        <v>N</v>
      </c>
    </row>
    <row r="106" spans="1:22" ht="13">
      <c r="A106" s="11" t="s">
        <v>366</v>
      </c>
      <c r="B106" s="12" t="s">
        <v>367</v>
      </c>
      <c r="C106" s="12" t="s">
        <v>40</v>
      </c>
      <c r="D106" s="12">
        <v>2024</v>
      </c>
      <c r="E106" s="12">
        <v>2024</v>
      </c>
      <c r="F106" s="12" t="s">
        <v>168</v>
      </c>
      <c r="G106" s="14" t="s">
        <v>47</v>
      </c>
      <c r="H106" s="2" t="s">
        <v>47</v>
      </c>
      <c r="I106" s="22" t="s">
        <v>42</v>
      </c>
      <c r="J106" s="2" t="str">
        <f t="shared" si="0"/>
        <v>Y</v>
      </c>
      <c r="L106" s="14" t="s">
        <v>47</v>
      </c>
      <c r="N106" s="20" t="s">
        <v>47</v>
      </c>
      <c r="O106" s="2" t="s">
        <v>47</v>
      </c>
      <c r="P106" s="24" t="s">
        <v>368</v>
      </c>
      <c r="Q106" s="2" t="s">
        <v>66</v>
      </c>
      <c r="R106" s="2" t="s">
        <v>369</v>
      </c>
      <c r="S106" s="2" t="s">
        <v>68</v>
      </c>
      <c r="T106" s="2">
        <v>2</v>
      </c>
      <c r="U106" s="16" t="s">
        <v>69</v>
      </c>
      <c r="V106" s="2" t="s">
        <v>370</v>
      </c>
    </row>
    <row r="107" spans="1:22" ht="13">
      <c r="A107" s="11" t="s">
        <v>371</v>
      </c>
      <c r="B107" s="12" t="s">
        <v>372</v>
      </c>
      <c r="C107" s="12" t="s">
        <v>40</v>
      </c>
      <c r="D107" s="12">
        <v>2022</v>
      </c>
      <c r="E107" s="12">
        <v>2022</v>
      </c>
      <c r="F107" s="12" t="s">
        <v>373</v>
      </c>
      <c r="G107" s="14" t="s">
        <v>43</v>
      </c>
      <c r="H107" s="2" t="s">
        <v>43</v>
      </c>
      <c r="I107" s="22" t="s">
        <v>47</v>
      </c>
      <c r="J107" s="2" t="str">
        <f t="shared" si="0"/>
        <v>N</v>
      </c>
    </row>
    <row r="108" spans="1:22" ht="13">
      <c r="A108" s="11" t="s">
        <v>374</v>
      </c>
      <c r="B108" s="12" t="s">
        <v>375</v>
      </c>
      <c r="C108" s="12" t="s">
        <v>40</v>
      </c>
      <c r="D108" s="12">
        <v>2024</v>
      </c>
      <c r="E108" s="12">
        <v>2024</v>
      </c>
      <c r="F108" s="12" t="s">
        <v>333</v>
      </c>
      <c r="G108" s="14" t="s">
        <v>42</v>
      </c>
      <c r="I108" s="22" t="s">
        <v>42</v>
      </c>
      <c r="J108" s="2" t="str">
        <f t="shared" si="0"/>
        <v>N</v>
      </c>
    </row>
    <row r="109" spans="1:22" ht="13">
      <c r="A109" s="11" t="s">
        <v>376</v>
      </c>
      <c r="B109" s="12" t="s">
        <v>377</v>
      </c>
      <c r="C109" s="12" t="s">
        <v>40</v>
      </c>
      <c r="D109" s="12">
        <v>2022</v>
      </c>
      <c r="E109" s="12">
        <v>2022</v>
      </c>
      <c r="F109" s="12" t="s">
        <v>378</v>
      </c>
      <c r="G109" s="14" t="s">
        <v>47</v>
      </c>
      <c r="H109" s="2" t="s">
        <v>43</v>
      </c>
      <c r="I109" s="22" t="s">
        <v>43</v>
      </c>
      <c r="J109" s="2" t="str">
        <f t="shared" si="0"/>
        <v>N</v>
      </c>
    </row>
    <row r="110" spans="1:22" ht="13">
      <c r="A110" s="11" t="s">
        <v>379</v>
      </c>
      <c r="B110" s="12" t="s">
        <v>380</v>
      </c>
      <c r="C110" s="12" t="s">
        <v>117</v>
      </c>
      <c r="D110" s="12">
        <v>2025</v>
      </c>
      <c r="E110" s="12">
        <v>2025</v>
      </c>
      <c r="F110" s="12" t="s">
        <v>381</v>
      </c>
      <c r="G110" s="14" t="s">
        <v>47</v>
      </c>
      <c r="H110" s="2" t="s">
        <v>47</v>
      </c>
      <c r="I110" s="22" t="s">
        <v>43</v>
      </c>
      <c r="J110" s="2" t="str">
        <f t="shared" si="0"/>
        <v>Y</v>
      </c>
      <c r="L110" s="14" t="s">
        <v>43</v>
      </c>
      <c r="N110" s="20" t="s">
        <v>43</v>
      </c>
      <c r="O110" s="2" t="str">
        <f t="shared" ref="O110:O111" si="7">IF(COUNTIF(L110:N110, "Y")&gt;=2,"Y","N")</f>
        <v>N</v>
      </c>
      <c r="P110" s="21"/>
    </row>
    <row r="111" spans="1:22" ht="13">
      <c r="A111" s="11" t="s">
        <v>382</v>
      </c>
      <c r="B111" s="12" t="s">
        <v>383</v>
      </c>
      <c r="C111" s="12" t="s">
        <v>40</v>
      </c>
      <c r="D111" s="12">
        <v>2023</v>
      </c>
      <c r="E111" s="12">
        <v>2023</v>
      </c>
      <c r="F111" s="12" t="s">
        <v>384</v>
      </c>
      <c r="G111" s="14" t="s">
        <v>47</v>
      </c>
      <c r="I111" s="22" t="s">
        <v>47</v>
      </c>
      <c r="J111" s="2" t="str">
        <f t="shared" si="0"/>
        <v>Y</v>
      </c>
      <c r="L111" s="14" t="s">
        <v>43</v>
      </c>
      <c r="N111" s="20" t="s">
        <v>43</v>
      </c>
      <c r="O111" s="2" t="str">
        <f t="shared" si="7"/>
        <v>N</v>
      </c>
      <c r="P111" s="21"/>
    </row>
    <row r="112" spans="1:22" ht="13">
      <c r="A112" s="11" t="s">
        <v>385</v>
      </c>
      <c r="B112" s="12" t="s">
        <v>386</v>
      </c>
      <c r="C112" s="12" t="s">
        <v>40</v>
      </c>
      <c r="D112" s="12">
        <v>2022</v>
      </c>
      <c r="E112" s="12">
        <v>2022</v>
      </c>
      <c r="F112" s="12" t="s">
        <v>387</v>
      </c>
      <c r="G112" s="14" t="s">
        <v>43</v>
      </c>
      <c r="I112" s="22" t="s">
        <v>43</v>
      </c>
      <c r="J112" s="2" t="str">
        <f t="shared" si="0"/>
        <v>N</v>
      </c>
    </row>
    <row r="113" spans="1:22" ht="13">
      <c r="A113" s="11" t="s">
        <v>388</v>
      </c>
      <c r="B113" s="12" t="s">
        <v>389</v>
      </c>
      <c r="C113" s="12" t="s">
        <v>56</v>
      </c>
      <c r="D113" s="12">
        <v>2021</v>
      </c>
      <c r="E113" s="18">
        <v>44348</v>
      </c>
      <c r="F113" s="12" t="s">
        <v>390</v>
      </c>
      <c r="G113" s="14" t="s">
        <v>42</v>
      </c>
      <c r="I113" s="22" t="s">
        <v>42</v>
      </c>
      <c r="J113" s="2" t="str">
        <f t="shared" si="0"/>
        <v>N</v>
      </c>
    </row>
    <row r="114" spans="1:22" ht="13">
      <c r="A114" s="11" t="s">
        <v>391</v>
      </c>
      <c r="B114" s="12" t="s">
        <v>392</v>
      </c>
      <c r="C114" s="12" t="s">
        <v>56</v>
      </c>
      <c r="D114" s="12">
        <v>2021</v>
      </c>
      <c r="E114" s="18">
        <v>44440</v>
      </c>
      <c r="F114" s="12" t="s">
        <v>354</v>
      </c>
      <c r="G114" s="14" t="s">
        <v>43</v>
      </c>
      <c r="I114" s="22" t="s">
        <v>43</v>
      </c>
      <c r="J114" s="2" t="str">
        <f t="shared" si="0"/>
        <v>N</v>
      </c>
    </row>
    <row r="115" spans="1:22" ht="13">
      <c r="A115" s="11" t="s">
        <v>393</v>
      </c>
      <c r="B115" s="12" t="s">
        <v>394</v>
      </c>
      <c r="C115" s="12" t="s">
        <v>40</v>
      </c>
      <c r="D115" s="12">
        <v>2023</v>
      </c>
      <c r="E115" s="12">
        <v>2023</v>
      </c>
      <c r="F115" s="12" t="s">
        <v>395</v>
      </c>
      <c r="G115" s="14" t="s">
        <v>43</v>
      </c>
      <c r="I115" s="22" t="s">
        <v>42</v>
      </c>
      <c r="J115" s="2" t="str">
        <f t="shared" si="0"/>
        <v>N</v>
      </c>
    </row>
    <row r="116" spans="1:22" ht="13">
      <c r="A116" s="11" t="s">
        <v>396</v>
      </c>
      <c r="B116" s="12" t="s">
        <v>397</v>
      </c>
      <c r="C116" s="12" t="s">
        <v>40</v>
      </c>
      <c r="D116" s="12">
        <v>2022</v>
      </c>
      <c r="E116" s="12">
        <v>2022</v>
      </c>
      <c r="F116" s="12" t="s">
        <v>398</v>
      </c>
      <c r="G116" s="14" t="s">
        <v>43</v>
      </c>
      <c r="H116" s="2" t="s">
        <v>43</v>
      </c>
      <c r="I116" s="22" t="s">
        <v>43</v>
      </c>
      <c r="J116" s="2" t="str">
        <f t="shared" si="0"/>
        <v>N</v>
      </c>
    </row>
    <row r="117" spans="1:22" ht="13">
      <c r="A117" s="11" t="s">
        <v>399</v>
      </c>
      <c r="B117" s="12" t="s">
        <v>400</v>
      </c>
      <c r="C117" s="12" t="s">
        <v>40</v>
      </c>
      <c r="D117" s="12">
        <v>2024</v>
      </c>
      <c r="E117" s="12">
        <v>2024</v>
      </c>
      <c r="F117" s="12" t="s">
        <v>401</v>
      </c>
      <c r="G117" s="14" t="s">
        <v>43</v>
      </c>
      <c r="I117" s="22" t="s">
        <v>42</v>
      </c>
      <c r="J117" s="2" t="str">
        <f t="shared" si="0"/>
        <v>N</v>
      </c>
    </row>
    <row r="118" spans="1:22" ht="13">
      <c r="A118" s="11" t="s">
        <v>402</v>
      </c>
      <c r="B118" s="12" t="s">
        <v>403</v>
      </c>
      <c r="C118" s="12" t="s">
        <v>40</v>
      </c>
      <c r="D118" s="12">
        <v>2025</v>
      </c>
      <c r="E118" s="12">
        <v>2025</v>
      </c>
      <c r="F118" s="12" t="s">
        <v>404</v>
      </c>
      <c r="G118" s="14" t="s">
        <v>42</v>
      </c>
      <c r="I118" s="22" t="s">
        <v>42</v>
      </c>
      <c r="J118" s="2" t="str">
        <f t="shared" si="0"/>
        <v>N</v>
      </c>
    </row>
    <row r="119" spans="1:22" ht="13">
      <c r="A119" s="11" t="s">
        <v>405</v>
      </c>
      <c r="B119" s="12" t="s">
        <v>406</v>
      </c>
      <c r="C119" s="12" t="s">
        <v>40</v>
      </c>
      <c r="D119" s="12">
        <v>2023</v>
      </c>
      <c r="E119" s="12">
        <v>2023</v>
      </c>
      <c r="F119" s="12" t="s">
        <v>407</v>
      </c>
      <c r="G119" s="14" t="s">
        <v>43</v>
      </c>
      <c r="I119" s="22" t="s">
        <v>42</v>
      </c>
      <c r="J119" s="2" t="str">
        <f t="shared" si="0"/>
        <v>N</v>
      </c>
    </row>
    <row r="120" spans="1:22" ht="13">
      <c r="A120" s="11" t="s">
        <v>408</v>
      </c>
      <c r="B120" s="12" t="s">
        <v>409</v>
      </c>
      <c r="C120" s="12" t="s">
        <v>40</v>
      </c>
      <c r="D120" s="12">
        <v>2025</v>
      </c>
      <c r="E120" s="12">
        <v>2025</v>
      </c>
      <c r="F120" s="12" t="s">
        <v>410</v>
      </c>
      <c r="G120" s="14" t="s">
        <v>42</v>
      </c>
      <c r="I120" s="22" t="s">
        <v>42</v>
      </c>
      <c r="J120" s="2" t="str">
        <f t="shared" si="0"/>
        <v>N</v>
      </c>
    </row>
    <row r="121" spans="1:22" ht="13">
      <c r="A121" s="11" t="s">
        <v>411</v>
      </c>
      <c r="B121" s="12" t="s">
        <v>412</v>
      </c>
      <c r="C121" s="12" t="s">
        <v>40</v>
      </c>
      <c r="D121" s="12">
        <v>2014</v>
      </c>
      <c r="E121" s="12">
        <v>2014</v>
      </c>
      <c r="F121" s="12" t="s">
        <v>413</v>
      </c>
      <c r="G121" s="14" t="s">
        <v>47</v>
      </c>
      <c r="I121" s="22" t="s">
        <v>43</v>
      </c>
      <c r="J121" s="2" t="str">
        <f t="shared" si="0"/>
        <v>N</v>
      </c>
    </row>
    <row r="122" spans="1:22" ht="13">
      <c r="A122" s="11" t="s">
        <v>414</v>
      </c>
      <c r="B122" s="12" t="s">
        <v>415</v>
      </c>
      <c r="C122" s="12" t="s">
        <v>56</v>
      </c>
      <c r="D122" s="12">
        <v>2024</v>
      </c>
      <c r="E122" s="18">
        <v>45505</v>
      </c>
      <c r="F122" s="12" t="s">
        <v>416</v>
      </c>
      <c r="G122" s="14" t="s">
        <v>43</v>
      </c>
      <c r="H122" s="2" t="s">
        <v>43</v>
      </c>
      <c r="I122" s="22" t="s">
        <v>43</v>
      </c>
      <c r="J122" s="2" t="str">
        <f t="shared" si="0"/>
        <v>N</v>
      </c>
    </row>
    <row r="123" spans="1:22" ht="13">
      <c r="A123" s="11" t="s">
        <v>417</v>
      </c>
      <c r="B123" s="12" t="s">
        <v>418</v>
      </c>
      <c r="C123" s="12" t="s">
        <v>40</v>
      </c>
      <c r="D123" s="12">
        <v>2014</v>
      </c>
      <c r="E123" s="12">
        <v>2014</v>
      </c>
      <c r="F123" s="12" t="s">
        <v>419</v>
      </c>
      <c r="G123" s="14" t="s">
        <v>47</v>
      </c>
      <c r="I123" s="22" t="s">
        <v>47</v>
      </c>
      <c r="J123" s="2" t="str">
        <f t="shared" si="0"/>
        <v>Y</v>
      </c>
      <c r="L123" s="14" t="s">
        <v>47</v>
      </c>
      <c r="N123" s="20" t="s">
        <v>47</v>
      </c>
      <c r="O123" s="2" t="s">
        <v>47</v>
      </c>
      <c r="P123" s="23" t="s">
        <v>420</v>
      </c>
      <c r="Q123" s="2" t="s">
        <v>98</v>
      </c>
      <c r="R123" s="2" t="s">
        <v>421</v>
      </c>
      <c r="S123" s="2" t="s">
        <v>68</v>
      </c>
      <c r="T123" s="2">
        <v>1</v>
      </c>
      <c r="U123" s="16" t="s">
        <v>422</v>
      </c>
      <c r="V123" s="2" t="s">
        <v>423</v>
      </c>
    </row>
    <row r="124" spans="1:22" ht="13">
      <c r="A124" s="11" t="s">
        <v>424</v>
      </c>
      <c r="B124" s="12" t="s">
        <v>425</v>
      </c>
      <c r="C124" s="12" t="s">
        <v>56</v>
      </c>
      <c r="D124" s="12">
        <v>2020</v>
      </c>
      <c r="E124" s="18">
        <v>43952</v>
      </c>
      <c r="F124" s="12" t="s">
        <v>426</v>
      </c>
      <c r="G124" s="14" t="s">
        <v>47</v>
      </c>
      <c r="I124" s="22" t="s">
        <v>47</v>
      </c>
      <c r="J124" s="2" t="str">
        <f t="shared" si="0"/>
        <v>Y</v>
      </c>
      <c r="L124" s="14" t="s">
        <v>43</v>
      </c>
      <c r="N124" s="20" t="s">
        <v>43</v>
      </c>
      <c r="O124" s="2" t="str">
        <f>IF(COUNTIF(L124:N124, "Y")&gt;=2,"Y","N")</f>
        <v>N</v>
      </c>
      <c r="P124" s="21"/>
    </row>
    <row r="125" spans="1:22" ht="13">
      <c r="A125" s="11" t="s">
        <v>427</v>
      </c>
      <c r="B125" s="12" t="s">
        <v>428</v>
      </c>
      <c r="C125" s="12" t="s">
        <v>40</v>
      </c>
      <c r="D125" s="12">
        <v>2021</v>
      </c>
      <c r="E125" s="12">
        <v>2021</v>
      </c>
      <c r="F125" s="12" t="s">
        <v>429</v>
      </c>
      <c r="G125" s="14" t="s">
        <v>43</v>
      </c>
      <c r="I125" s="22" t="s">
        <v>43</v>
      </c>
      <c r="J125" s="2" t="str">
        <f t="shared" si="0"/>
        <v>N</v>
      </c>
    </row>
    <row r="126" spans="1:22" ht="13">
      <c r="A126" s="11" t="s">
        <v>430</v>
      </c>
      <c r="B126" s="12" t="s">
        <v>431</v>
      </c>
      <c r="C126" s="12" t="s">
        <v>40</v>
      </c>
      <c r="D126" s="12">
        <v>2024</v>
      </c>
      <c r="E126" s="12">
        <v>2024</v>
      </c>
      <c r="F126" s="12" t="s">
        <v>432</v>
      </c>
      <c r="G126" s="14" t="s">
        <v>42</v>
      </c>
      <c r="I126" s="22" t="s">
        <v>42</v>
      </c>
      <c r="J126" s="2" t="str">
        <f t="shared" si="0"/>
        <v>N</v>
      </c>
    </row>
    <row r="127" spans="1:22" ht="13">
      <c r="A127" s="11" t="s">
        <v>433</v>
      </c>
      <c r="B127" s="12" t="s">
        <v>434</v>
      </c>
      <c r="C127" s="12" t="s">
        <v>40</v>
      </c>
      <c r="D127" s="12">
        <v>2021</v>
      </c>
      <c r="E127" s="12">
        <v>2021</v>
      </c>
      <c r="F127" s="12" t="s">
        <v>435</v>
      </c>
      <c r="G127" s="14" t="s">
        <v>43</v>
      </c>
      <c r="I127" s="22" t="s">
        <v>43</v>
      </c>
      <c r="J127" s="2" t="str">
        <f t="shared" si="0"/>
        <v>N</v>
      </c>
    </row>
    <row r="128" spans="1:22" ht="13">
      <c r="A128" s="11" t="s">
        <v>436</v>
      </c>
      <c r="B128" s="12" t="s">
        <v>437</v>
      </c>
      <c r="C128" s="12" t="s">
        <v>56</v>
      </c>
      <c r="D128" s="12">
        <v>2021</v>
      </c>
      <c r="E128" s="17">
        <v>44470</v>
      </c>
      <c r="F128" s="12" t="s">
        <v>390</v>
      </c>
      <c r="G128" s="14" t="s">
        <v>42</v>
      </c>
      <c r="I128" s="22" t="s">
        <v>42</v>
      </c>
      <c r="J128" s="2" t="str">
        <f t="shared" si="0"/>
        <v>N</v>
      </c>
    </row>
    <row r="129" spans="1:16" ht="13">
      <c r="A129" s="11" t="s">
        <v>438</v>
      </c>
      <c r="B129" s="12" t="s">
        <v>439</v>
      </c>
      <c r="C129" s="12" t="s">
        <v>40</v>
      </c>
      <c r="D129" s="12">
        <v>2014</v>
      </c>
      <c r="E129" s="12">
        <v>2014</v>
      </c>
      <c r="F129" s="12" t="s">
        <v>440</v>
      </c>
      <c r="G129" s="14" t="s">
        <v>42</v>
      </c>
      <c r="I129" s="22" t="s">
        <v>42</v>
      </c>
      <c r="J129" s="2" t="str">
        <f t="shared" si="0"/>
        <v>N</v>
      </c>
    </row>
    <row r="130" spans="1:16" ht="13">
      <c r="A130" s="11" t="s">
        <v>441</v>
      </c>
      <c r="B130" s="12" t="s">
        <v>442</v>
      </c>
      <c r="C130" s="12" t="s">
        <v>40</v>
      </c>
      <c r="D130" s="12">
        <v>2024</v>
      </c>
      <c r="E130" s="12">
        <v>2024</v>
      </c>
      <c r="F130" s="12" t="s">
        <v>351</v>
      </c>
      <c r="G130" s="14" t="s">
        <v>43</v>
      </c>
      <c r="I130" s="22" t="s">
        <v>42</v>
      </c>
      <c r="J130" s="2" t="str">
        <f t="shared" si="0"/>
        <v>N</v>
      </c>
    </row>
    <row r="131" spans="1:16" ht="13">
      <c r="A131" s="11" t="s">
        <v>443</v>
      </c>
      <c r="B131" s="12" t="s">
        <v>444</v>
      </c>
      <c r="C131" s="12" t="s">
        <v>56</v>
      </c>
      <c r="D131" s="12">
        <v>2024</v>
      </c>
      <c r="E131" s="18">
        <v>45474</v>
      </c>
      <c r="F131" s="12" t="s">
        <v>426</v>
      </c>
      <c r="G131" s="14" t="s">
        <v>43</v>
      </c>
      <c r="H131" s="2" t="s">
        <v>43</v>
      </c>
      <c r="I131" s="22" t="s">
        <v>47</v>
      </c>
      <c r="J131" s="2" t="str">
        <f t="shared" si="0"/>
        <v>N</v>
      </c>
    </row>
    <row r="132" spans="1:16" ht="13">
      <c r="A132" s="11" t="s">
        <v>445</v>
      </c>
      <c r="B132" s="12" t="s">
        <v>446</v>
      </c>
      <c r="C132" s="12" t="s">
        <v>40</v>
      </c>
      <c r="D132" s="12">
        <v>2024</v>
      </c>
      <c r="E132" s="12">
        <v>2024</v>
      </c>
      <c r="F132" s="12" t="s">
        <v>401</v>
      </c>
      <c r="G132" s="14" t="s">
        <v>42</v>
      </c>
      <c r="I132" s="22" t="s">
        <v>43</v>
      </c>
      <c r="J132" s="2" t="str">
        <f t="shared" si="0"/>
        <v>N</v>
      </c>
    </row>
    <row r="133" spans="1:16" ht="13">
      <c r="A133" s="11" t="s">
        <v>447</v>
      </c>
      <c r="B133" s="12" t="s">
        <v>448</v>
      </c>
      <c r="C133" s="12" t="s">
        <v>40</v>
      </c>
      <c r="D133" s="12">
        <v>2010</v>
      </c>
      <c r="E133" s="12">
        <v>2010</v>
      </c>
      <c r="F133" s="12" t="s">
        <v>449</v>
      </c>
      <c r="G133" s="14" t="s">
        <v>48</v>
      </c>
      <c r="H133" s="2" t="s">
        <v>48</v>
      </c>
      <c r="I133" s="22" t="s">
        <v>47</v>
      </c>
      <c r="J133" s="2" t="str">
        <f t="shared" si="0"/>
        <v>N</v>
      </c>
    </row>
    <row r="134" spans="1:16" ht="13">
      <c r="A134" s="11" t="s">
        <v>450</v>
      </c>
      <c r="B134" s="12" t="s">
        <v>451</v>
      </c>
      <c r="C134" s="12" t="s">
        <v>40</v>
      </c>
      <c r="D134" s="12">
        <v>2024</v>
      </c>
      <c r="E134" s="12">
        <v>2024</v>
      </c>
      <c r="F134" s="12" t="s">
        <v>432</v>
      </c>
      <c r="G134" s="14" t="s">
        <v>42</v>
      </c>
      <c r="I134" s="22" t="s">
        <v>42</v>
      </c>
      <c r="J134" s="2" t="str">
        <f t="shared" si="0"/>
        <v>N</v>
      </c>
    </row>
    <row r="135" spans="1:16" ht="13">
      <c r="A135" s="11" t="s">
        <v>452</v>
      </c>
      <c r="B135" s="12" t="s">
        <v>453</v>
      </c>
      <c r="C135" s="12" t="s">
        <v>40</v>
      </c>
      <c r="D135" s="12">
        <v>2013</v>
      </c>
      <c r="E135" s="12">
        <v>2013</v>
      </c>
      <c r="F135" s="12" t="s">
        <v>454</v>
      </c>
      <c r="G135" s="14" t="s">
        <v>47</v>
      </c>
      <c r="H135" s="2" t="s">
        <v>43</v>
      </c>
      <c r="I135" s="22" t="s">
        <v>43</v>
      </c>
      <c r="J135" s="2" t="str">
        <f t="shared" si="0"/>
        <v>N</v>
      </c>
    </row>
    <row r="136" spans="1:16" ht="13">
      <c r="A136" s="11" t="s">
        <v>455</v>
      </c>
      <c r="B136" s="12" t="s">
        <v>456</v>
      </c>
      <c r="C136" s="12" t="s">
        <v>40</v>
      </c>
      <c r="D136" s="12">
        <v>2015</v>
      </c>
      <c r="E136" s="12">
        <v>2015</v>
      </c>
      <c r="F136" s="12" t="s">
        <v>457</v>
      </c>
      <c r="G136" s="14" t="s">
        <v>43</v>
      </c>
      <c r="H136" s="2" t="s">
        <v>43</v>
      </c>
      <c r="I136" s="22" t="s">
        <v>47</v>
      </c>
      <c r="J136" s="2" t="str">
        <f t="shared" si="0"/>
        <v>N</v>
      </c>
    </row>
    <row r="137" spans="1:16" ht="13">
      <c r="A137" s="11" t="s">
        <v>458</v>
      </c>
      <c r="B137" s="12" t="s">
        <v>459</v>
      </c>
      <c r="C137" s="12" t="s">
        <v>40</v>
      </c>
      <c r="D137" s="12">
        <v>2024</v>
      </c>
      <c r="E137" s="12">
        <v>2024</v>
      </c>
      <c r="F137" s="12" t="s">
        <v>460</v>
      </c>
      <c r="G137" s="14" t="s">
        <v>42</v>
      </c>
      <c r="I137" s="22" t="s">
        <v>42</v>
      </c>
      <c r="J137" s="2" t="str">
        <f t="shared" si="0"/>
        <v>N</v>
      </c>
    </row>
    <row r="138" spans="1:16" ht="13">
      <c r="A138" s="11" t="s">
        <v>461</v>
      </c>
      <c r="B138" s="12" t="s">
        <v>462</v>
      </c>
      <c r="C138" s="12" t="s">
        <v>40</v>
      </c>
      <c r="D138" s="12">
        <v>2023</v>
      </c>
      <c r="E138" s="12">
        <v>2023</v>
      </c>
      <c r="F138" s="12" t="s">
        <v>463</v>
      </c>
      <c r="G138" s="14" t="s">
        <v>43</v>
      </c>
      <c r="I138" s="22" t="s">
        <v>43</v>
      </c>
      <c r="J138" s="2" t="str">
        <f t="shared" si="0"/>
        <v>N</v>
      </c>
    </row>
    <row r="139" spans="1:16" ht="13">
      <c r="A139" s="11" t="s">
        <v>464</v>
      </c>
      <c r="B139" s="12" t="s">
        <v>465</v>
      </c>
      <c r="C139" s="12" t="s">
        <v>40</v>
      </c>
      <c r="D139" s="12">
        <v>2007</v>
      </c>
      <c r="E139" s="12">
        <v>2007</v>
      </c>
      <c r="F139" s="12" t="s">
        <v>466</v>
      </c>
      <c r="G139" s="14" t="s">
        <v>43</v>
      </c>
      <c r="H139" s="2" t="s">
        <v>43</v>
      </c>
      <c r="I139" s="22" t="s">
        <v>47</v>
      </c>
      <c r="J139" s="2" t="str">
        <f t="shared" si="0"/>
        <v>N</v>
      </c>
    </row>
    <row r="140" spans="1:16" ht="13">
      <c r="A140" s="11" t="s">
        <v>467</v>
      </c>
      <c r="B140" s="12" t="s">
        <v>468</v>
      </c>
      <c r="C140" s="12" t="s">
        <v>40</v>
      </c>
      <c r="D140" s="12">
        <v>2013</v>
      </c>
      <c r="E140" s="12">
        <v>2013</v>
      </c>
      <c r="F140" s="12" t="s">
        <v>469</v>
      </c>
      <c r="G140" s="14" t="s">
        <v>47</v>
      </c>
      <c r="I140" s="22" t="s">
        <v>47</v>
      </c>
      <c r="J140" s="2" t="str">
        <f t="shared" si="0"/>
        <v>Y</v>
      </c>
      <c r="L140" s="14" t="s">
        <v>43</v>
      </c>
      <c r="N140" s="20" t="s">
        <v>43</v>
      </c>
      <c r="O140" s="2" t="str">
        <f>IF(COUNTIF(L140:N140, "Y")&gt;=2,"Y","N")</f>
        <v>N</v>
      </c>
      <c r="P140" s="21"/>
    </row>
    <row r="141" spans="1:16" ht="13">
      <c r="A141" s="11" t="s">
        <v>470</v>
      </c>
      <c r="B141" s="12" t="s">
        <v>471</v>
      </c>
      <c r="C141" s="12" t="s">
        <v>40</v>
      </c>
      <c r="D141" s="12">
        <v>2022</v>
      </c>
      <c r="E141" s="12">
        <v>2022</v>
      </c>
      <c r="F141" s="12" t="s">
        <v>472</v>
      </c>
      <c r="G141" s="14" t="s">
        <v>43</v>
      </c>
      <c r="I141" s="22" t="s">
        <v>43</v>
      </c>
      <c r="J141" s="2" t="str">
        <f t="shared" si="0"/>
        <v>N</v>
      </c>
    </row>
    <row r="142" spans="1:16" ht="13">
      <c r="A142" s="11" t="s">
        <v>473</v>
      </c>
      <c r="B142" s="12" t="s">
        <v>474</v>
      </c>
      <c r="C142" s="12" t="s">
        <v>40</v>
      </c>
      <c r="D142" s="12">
        <v>2005</v>
      </c>
      <c r="E142" s="12">
        <v>2005</v>
      </c>
      <c r="F142" s="12" t="s">
        <v>475</v>
      </c>
      <c r="G142" s="14" t="s">
        <v>43</v>
      </c>
      <c r="I142" s="22" t="s">
        <v>43</v>
      </c>
      <c r="J142" s="2" t="str">
        <f t="shared" si="0"/>
        <v>N</v>
      </c>
    </row>
    <row r="143" spans="1:16" ht="13">
      <c r="A143" s="11" t="s">
        <v>476</v>
      </c>
      <c r="B143" s="12" t="s">
        <v>477</v>
      </c>
      <c r="C143" s="12" t="s">
        <v>40</v>
      </c>
      <c r="D143" s="12">
        <v>2009</v>
      </c>
      <c r="E143" s="12">
        <v>2009</v>
      </c>
      <c r="F143" s="12" t="s">
        <v>478</v>
      </c>
      <c r="G143" s="14" t="s">
        <v>43</v>
      </c>
      <c r="H143" s="2" t="s">
        <v>43</v>
      </c>
      <c r="I143" s="22" t="s">
        <v>47</v>
      </c>
      <c r="J143" s="2" t="str">
        <f t="shared" si="0"/>
        <v>N</v>
      </c>
    </row>
    <row r="144" spans="1:16" ht="13">
      <c r="A144" s="11" t="s">
        <v>479</v>
      </c>
      <c r="B144" s="12" t="s">
        <v>480</v>
      </c>
      <c r="C144" s="12" t="s">
        <v>40</v>
      </c>
      <c r="D144" s="12">
        <v>2011</v>
      </c>
      <c r="E144" s="12">
        <v>2011</v>
      </c>
      <c r="F144" s="12" t="s">
        <v>481</v>
      </c>
      <c r="G144" s="14" t="s">
        <v>43</v>
      </c>
      <c r="H144" s="2" t="s">
        <v>43</v>
      </c>
      <c r="I144" s="22" t="s">
        <v>43</v>
      </c>
      <c r="J144" s="2" t="str">
        <f t="shared" si="0"/>
        <v>N</v>
      </c>
    </row>
    <row r="145" spans="1:24" ht="13">
      <c r="A145" s="11" t="s">
        <v>482</v>
      </c>
      <c r="B145" s="12" t="s">
        <v>483</v>
      </c>
      <c r="C145" s="12" t="s">
        <v>40</v>
      </c>
      <c r="D145" s="12">
        <v>2021</v>
      </c>
      <c r="E145" s="12">
        <v>2021</v>
      </c>
      <c r="F145" s="12" t="s">
        <v>429</v>
      </c>
      <c r="G145" s="14" t="s">
        <v>43</v>
      </c>
      <c r="I145" s="22" t="s">
        <v>43</v>
      </c>
      <c r="J145" s="2" t="str">
        <f t="shared" si="0"/>
        <v>N</v>
      </c>
    </row>
    <row r="146" spans="1:24" ht="13">
      <c r="A146" s="11" t="s">
        <v>484</v>
      </c>
      <c r="B146" s="12" t="s">
        <v>485</v>
      </c>
      <c r="C146" s="12" t="s">
        <v>40</v>
      </c>
      <c r="D146" s="12">
        <v>1996</v>
      </c>
      <c r="E146" s="12">
        <v>1996</v>
      </c>
      <c r="F146" s="12" t="s">
        <v>486</v>
      </c>
      <c r="G146" s="14" t="s">
        <v>43</v>
      </c>
      <c r="I146" s="22" t="s">
        <v>47</v>
      </c>
      <c r="J146" s="2" t="str">
        <f t="shared" si="0"/>
        <v>N</v>
      </c>
    </row>
    <row r="147" spans="1:24" ht="13">
      <c r="A147" s="11" t="s">
        <v>487</v>
      </c>
      <c r="B147" s="12" t="s">
        <v>488</v>
      </c>
      <c r="C147" s="12" t="s">
        <v>40</v>
      </c>
      <c r="D147" s="12">
        <v>2004</v>
      </c>
      <c r="E147" s="12">
        <v>2004</v>
      </c>
      <c r="F147" s="12" t="s">
        <v>489</v>
      </c>
      <c r="G147" s="14" t="s">
        <v>43</v>
      </c>
      <c r="I147" s="22" t="s">
        <v>43</v>
      </c>
      <c r="J147" s="2" t="str">
        <f t="shared" si="0"/>
        <v>N</v>
      </c>
    </row>
    <row r="148" spans="1:24" ht="13">
      <c r="A148" s="11" t="s">
        <v>490</v>
      </c>
      <c r="B148" s="12" t="s">
        <v>491</v>
      </c>
      <c r="C148" s="12" t="s">
        <v>40</v>
      </c>
      <c r="D148" s="12">
        <v>2006</v>
      </c>
      <c r="E148" s="12">
        <v>2006</v>
      </c>
      <c r="F148" s="12" t="s">
        <v>492</v>
      </c>
      <c r="G148" s="14" t="s">
        <v>42</v>
      </c>
      <c r="I148" s="22" t="s">
        <v>61</v>
      </c>
      <c r="J148" s="2" t="str">
        <f t="shared" si="0"/>
        <v>N</v>
      </c>
    </row>
    <row r="149" spans="1:24" ht="13">
      <c r="A149" s="11" t="s">
        <v>493</v>
      </c>
      <c r="B149" s="12" t="s">
        <v>494</v>
      </c>
      <c r="C149" s="12" t="s">
        <v>40</v>
      </c>
      <c r="D149" s="12">
        <v>1995</v>
      </c>
      <c r="E149" s="12">
        <v>1995</v>
      </c>
      <c r="F149" s="12" t="s">
        <v>495</v>
      </c>
      <c r="G149" s="14" t="s">
        <v>43</v>
      </c>
      <c r="I149" s="22" t="s">
        <v>43</v>
      </c>
      <c r="J149" s="2" t="str">
        <f t="shared" si="0"/>
        <v>N</v>
      </c>
    </row>
    <row r="150" spans="1:24" ht="13">
      <c r="A150" s="11" t="s">
        <v>496</v>
      </c>
      <c r="B150" s="12" t="s">
        <v>497</v>
      </c>
      <c r="C150" s="12" t="s">
        <v>40</v>
      </c>
      <c r="D150" s="12">
        <v>1995</v>
      </c>
      <c r="E150" s="12">
        <v>1995</v>
      </c>
      <c r="F150" s="12" t="s">
        <v>498</v>
      </c>
      <c r="G150" s="14" t="s">
        <v>43</v>
      </c>
      <c r="I150" s="22" t="s">
        <v>43</v>
      </c>
      <c r="J150" s="2" t="str">
        <f t="shared" si="0"/>
        <v>N</v>
      </c>
    </row>
    <row r="151" spans="1:24" ht="13">
      <c r="A151" s="11" t="s">
        <v>3</v>
      </c>
      <c r="B151" s="12" t="s">
        <v>499</v>
      </c>
      <c r="C151" s="12" t="s">
        <v>117</v>
      </c>
      <c r="D151" s="12">
        <v>2018</v>
      </c>
      <c r="E151" s="12">
        <v>2018</v>
      </c>
      <c r="F151" s="12" t="s">
        <v>500</v>
      </c>
      <c r="G151" s="14" t="s">
        <v>47</v>
      </c>
      <c r="I151" s="22" t="s">
        <v>47</v>
      </c>
      <c r="J151" s="2" t="str">
        <f t="shared" si="0"/>
        <v>Y</v>
      </c>
      <c r="L151" s="14" t="s">
        <v>501</v>
      </c>
      <c r="M151" s="2" t="s">
        <v>47</v>
      </c>
      <c r="N151" s="20" t="s">
        <v>43</v>
      </c>
      <c r="O151" s="2" t="s">
        <v>502</v>
      </c>
      <c r="P151" s="21"/>
      <c r="V151" s="2" t="s">
        <v>503</v>
      </c>
    </row>
    <row r="152" spans="1:24" ht="13">
      <c r="A152" s="11" t="s">
        <v>504</v>
      </c>
      <c r="B152" s="12" t="s">
        <v>505</v>
      </c>
      <c r="C152" s="12" t="s">
        <v>56</v>
      </c>
      <c r="D152" s="12">
        <v>2023</v>
      </c>
      <c r="E152" s="12">
        <v>2023</v>
      </c>
      <c r="F152" s="12" t="s">
        <v>4</v>
      </c>
      <c r="G152" s="14" t="s">
        <v>47</v>
      </c>
      <c r="I152" s="22" t="s">
        <v>47</v>
      </c>
      <c r="J152" s="2" t="str">
        <f t="shared" si="0"/>
        <v>Y</v>
      </c>
      <c r="L152" s="14" t="s">
        <v>47</v>
      </c>
      <c r="N152" s="20" t="s">
        <v>47</v>
      </c>
      <c r="O152" s="2" t="s">
        <v>47</v>
      </c>
      <c r="P152" s="25" t="s">
        <v>5</v>
      </c>
      <c r="Q152" s="2" t="s">
        <v>66</v>
      </c>
      <c r="R152" s="2" t="s">
        <v>79</v>
      </c>
      <c r="S152" s="2" t="s">
        <v>68</v>
      </c>
      <c r="T152" s="2">
        <v>1</v>
      </c>
      <c r="U152" s="16" t="s">
        <v>69</v>
      </c>
    </row>
    <row r="153" spans="1:24" ht="13">
      <c r="A153" s="11" t="s">
        <v>506</v>
      </c>
      <c r="B153" s="12" t="s">
        <v>507</v>
      </c>
      <c r="C153" s="12" t="s">
        <v>253</v>
      </c>
      <c r="D153" s="12">
        <v>2019</v>
      </c>
      <c r="E153" s="12">
        <v>2019</v>
      </c>
      <c r="F153" s="19"/>
      <c r="G153" s="14" t="s">
        <v>119</v>
      </c>
      <c r="I153" s="22" t="s">
        <v>119</v>
      </c>
      <c r="J153" s="2" t="str">
        <f t="shared" si="0"/>
        <v>N</v>
      </c>
    </row>
    <row r="154" spans="1:24" ht="13">
      <c r="A154" s="11" t="s">
        <v>508</v>
      </c>
      <c r="B154" s="12" t="s">
        <v>509</v>
      </c>
      <c r="C154" s="12" t="s">
        <v>40</v>
      </c>
      <c r="D154" s="12">
        <v>2020</v>
      </c>
      <c r="E154" s="12">
        <v>2020</v>
      </c>
      <c r="F154" s="12" t="s">
        <v>510</v>
      </c>
      <c r="G154" s="14" t="s">
        <v>47</v>
      </c>
      <c r="I154" s="22" t="s">
        <v>47</v>
      </c>
      <c r="J154" s="2" t="str">
        <f t="shared" si="0"/>
        <v>Y</v>
      </c>
      <c r="L154" s="14" t="s">
        <v>43</v>
      </c>
      <c r="N154" s="20" t="s">
        <v>43</v>
      </c>
      <c r="O154" s="2" t="s">
        <v>502</v>
      </c>
    </row>
    <row r="155" spans="1:24" ht="13">
      <c r="A155" s="11" t="s">
        <v>511</v>
      </c>
      <c r="B155" s="12" t="s">
        <v>512</v>
      </c>
      <c r="C155" s="12" t="s">
        <v>56</v>
      </c>
      <c r="D155" s="12">
        <v>2024</v>
      </c>
      <c r="E155" s="12">
        <v>2024</v>
      </c>
      <c r="F155" s="12" t="s">
        <v>513</v>
      </c>
      <c r="G155" s="14" t="s">
        <v>47</v>
      </c>
      <c r="I155" s="22" t="s">
        <v>47</v>
      </c>
      <c r="J155" s="2" t="str">
        <f t="shared" si="0"/>
        <v>Y</v>
      </c>
      <c r="L155" s="14" t="s">
        <v>43</v>
      </c>
      <c r="N155" s="20" t="s">
        <v>43</v>
      </c>
      <c r="O155" s="2" t="s">
        <v>502</v>
      </c>
    </row>
    <row r="156" spans="1:24" ht="13">
      <c r="A156" s="11" t="s">
        <v>514</v>
      </c>
      <c r="B156" s="12" t="s">
        <v>515</v>
      </c>
      <c r="C156" s="12" t="s">
        <v>117</v>
      </c>
      <c r="D156" s="12">
        <v>2022</v>
      </c>
      <c r="E156" s="12">
        <v>2022</v>
      </c>
      <c r="F156" s="12" t="s">
        <v>516</v>
      </c>
      <c r="G156" s="14" t="s">
        <v>48</v>
      </c>
      <c r="H156" s="2" t="s">
        <v>48</v>
      </c>
      <c r="I156" s="22" t="s">
        <v>47</v>
      </c>
      <c r="J156" s="2" t="str">
        <f t="shared" si="0"/>
        <v>N</v>
      </c>
    </row>
    <row r="157" spans="1:24" ht="13">
      <c r="A157" s="11" t="s">
        <v>517</v>
      </c>
      <c r="B157" s="12" t="s">
        <v>518</v>
      </c>
      <c r="C157" s="12" t="s">
        <v>40</v>
      </c>
      <c r="D157" s="12">
        <v>2021</v>
      </c>
      <c r="E157" s="12">
        <v>2021</v>
      </c>
      <c r="F157" s="12" t="s">
        <v>519</v>
      </c>
      <c r="G157" s="14" t="s">
        <v>47</v>
      </c>
      <c r="I157" s="22" t="s">
        <v>47</v>
      </c>
      <c r="J157" s="2" t="str">
        <f t="shared" si="0"/>
        <v>Y</v>
      </c>
      <c r="L157" s="14" t="s">
        <v>43</v>
      </c>
      <c r="N157" s="20" t="s">
        <v>43</v>
      </c>
      <c r="O157" s="2" t="s">
        <v>502</v>
      </c>
    </row>
    <row r="158" spans="1:24" ht="13">
      <c r="A158" s="11" t="s">
        <v>520</v>
      </c>
      <c r="B158" s="12" t="s">
        <v>521</v>
      </c>
      <c r="C158" s="12" t="s">
        <v>117</v>
      </c>
      <c r="D158" s="12">
        <v>2020</v>
      </c>
      <c r="E158" s="12">
        <v>2020</v>
      </c>
      <c r="F158" s="12" t="s">
        <v>522</v>
      </c>
      <c r="G158" s="14" t="s">
        <v>47</v>
      </c>
      <c r="I158" s="22" t="s">
        <v>47</v>
      </c>
      <c r="J158" s="2" t="str">
        <f t="shared" si="0"/>
        <v>Y</v>
      </c>
      <c r="L158" s="14" t="s">
        <v>111</v>
      </c>
      <c r="M158" s="2" t="s">
        <v>111</v>
      </c>
      <c r="N158" s="20" t="s">
        <v>43</v>
      </c>
      <c r="O158" s="2" t="s">
        <v>502</v>
      </c>
    </row>
    <row r="159" spans="1:24" ht="13">
      <c r="A159" s="11" t="s">
        <v>523</v>
      </c>
      <c r="B159" s="12" t="s">
        <v>524</v>
      </c>
      <c r="C159" s="12" t="s">
        <v>56</v>
      </c>
      <c r="D159" s="12">
        <v>2022</v>
      </c>
      <c r="E159" s="12">
        <v>2022</v>
      </c>
      <c r="F159" s="12" t="s">
        <v>57</v>
      </c>
      <c r="G159" s="14" t="s">
        <v>47</v>
      </c>
      <c r="I159" s="22" t="s">
        <v>47</v>
      </c>
      <c r="J159" s="2" t="str">
        <f t="shared" si="0"/>
        <v>Y</v>
      </c>
      <c r="L159" s="14" t="s">
        <v>47</v>
      </c>
      <c r="N159" s="20" t="s">
        <v>47</v>
      </c>
      <c r="O159" s="2" t="s">
        <v>47</v>
      </c>
      <c r="P159" s="5" t="s">
        <v>525</v>
      </c>
      <c r="Q159" s="2" t="s">
        <v>66</v>
      </c>
      <c r="R159" s="2" t="s">
        <v>79</v>
      </c>
      <c r="S159" s="2" t="s">
        <v>68</v>
      </c>
      <c r="T159" s="2">
        <v>1</v>
      </c>
      <c r="U159" s="16" t="s">
        <v>69</v>
      </c>
      <c r="V159" s="2" t="s">
        <v>526</v>
      </c>
      <c r="W159" s="21" t="s">
        <v>527</v>
      </c>
      <c r="X159" s="2" t="s">
        <v>528</v>
      </c>
    </row>
    <row r="160" spans="1:24" ht="13">
      <c r="A160" s="11" t="s">
        <v>529</v>
      </c>
      <c r="B160" s="12" t="s">
        <v>530</v>
      </c>
      <c r="C160" s="12" t="s">
        <v>56</v>
      </c>
      <c r="D160" s="12">
        <v>2016</v>
      </c>
      <c r="E160" s="18">
        <v>42583</v>
      </c>
      <c r="F160" s="12" t="s">
        <v>531</v>
      </c>
      <c r="G160" s="14" t="s">
        <v>43</v>
      </c>
      <c r="H160" s="2" t="s">
        <v>43</v>
      </c>
      <c r="I160" s="22" t="s">
        <v>47</v>
      </c>
      <c r="J160" s="2" t="str">
        <f t="shared" si="0"/>
        <v>N</v>
      </c>
    </row>
    <row r="161" spans="1:22" ht="13">
      <c r="A161" s="11" t="s">
        <v>532</v>
      </c>
      <c r="B161" s="12" t="s">
        <v>533</v>
      </c>
      <c r="C161" s="12" t="s">
        <v>117</v>
      </c>
      <c r="D161" s="12">
        <v>2019</v>
      </c>
      <c r="E161" s="12">
        <v>2019</v>
      </c>
      <c r="F161" s="12" t="s">
        <v>534</v>
      </c>
      <c r="G161" s="14" t="s">
        <v>47</v>
      </c>
      <c r="I161" s="22" t="s">
        <v>47</v>
      </c>
      <c r="J161" s="2" t="str">
        <f t="shared" si="0"/>
        <v>Y</v>
      </c>
      <c r="L161" s="14" t="s">
        <v>43</v>
      </c>
      <c r="M161" s="2" t="s">
        <v>43</v>
      </c>
      <c r="N161" s="20" t="s">
        <v>47</v>
      </c>
      <c r="O161" s="2" t="s">
        <v>502</v>
      </c>
      <c r="Q161" s="2"/>
      <c r="R161" s="2"/>
      <c r="S161" s="2"/>
      <c r="T161" s="2" t="s">
        <v>535</v>
      </c>
      <c r="U161" s="2" t="s">
        <v>80</v>
      </c>
    </row>
    <row r="162" spans="1:22" ht="13">
      <c r="A162" s="11" t="s">
        <v>536</v>
      </c>
      <c r="B162" s="12" t="s">
        <v>537</v>
      </c>
      <c r="C162" s="12" t="s">
        <v>40</v>
      </c>
      <c r="D162" s="12">
        <v>2011</v>
      </c>
      <c r="E162" s="13">
        <v>40686</v>
      </c>
      <c r="F162" s="12" t="s">
        <v>538</v>
      </c>
      <c r="G162" s="14" t="s">
        <v>47</v>
      </c>
      <c r="I162" s="22" t="s">
        <v>47</v>
      </c>
      <c r="J162" s="2" t="str">
        <f t="shared" si="0"/>
        <v>Y</v>
      </c>
      <c r="L162" s="14" t="s">
        <v>47</v>
      </c>
      <c r="N162" s="22" t="s">
        <v>47</v>
      </c>
      <c r="O162" s="2" t="s">
        <v>47</v>
      </c>
      <c r="P162" s="4" t="s">
        <v>539</v>
      </c>
      <c r="Q162" s="2" t="s">
        <v>540</v>
      </c>
      <c r="R162" s="2" t="s">
        <v>541</v>
      </c>
      <c r="S162" s="2" t="s">
        <v>540</v>
      </c>
      <c r="T162" s="2">
        <v>7</v>
      </c>
      <c r="U162" s="16" t="s">
        <v>69</v>
      </c>
      <c r="V162" s="2" t="s">
        <v>542</v>
      </c>
    </row>
    <row r="163" spans="1:22" ht="13">
      <c r="A163" s="11" t="s">
        <v>543</v>
      </c>
      <c r="B163" s="12" t="s">
        <v>544</v>
      </c>
      <c r="C163" s="12" t="s">
        <v>56</v>
      </c>
      <c r="D163" s="12">
        <v>2021</v>
      </c>
      <c r="E163" s="12">
        <v>2021</v>
      </c>
      <c r="F163" s="12" t="s">
        <v>545</v>
      </c>
      <c r="H163" s="15" t="s">
        <v>47</v>
      </c>
      <c r="I163" s="20" t="s">
        <v>47</v>
      </c>
      <c r="J163" s="2" t="str">
        <f t="shared" si="0"/>
        <v>Y</v>
      </c>
      <c r="L163" s="14" t="s">
        <v>43</v>
      </c>
      <c r="N163" s="20" t="s">
        <v>43</v>
      </c>
      <c r="O163" s="2" t="s">
        <v>502</v>
      </c>
    </row>
    <row r="164" spans="1:22" ht="13">
      <c r="A164" s="11" t="s">
        <v>9</v>
      </c>
      <c r="B164" s="12" t="s">
        <v>546</v>
      </c>
      <c r="C164" s="12" t="s">
        <v>56</v>
      </c>
      <c r="D164" s="12">
        <v>2023</v>
      </c>
      <c r="E164" s="17">
        <v>45261</v>
      </c>
      <c r="F164" s="12" t="s">
        <v>10</v>
      </c>
      <c r="H164" s="15" t="s">
        <v>47</v>
      </c>
      <c r="I164" s="20" t="s">
        <v>47</v>
      </c>
      <c r="J164" s="2" t="str">
        <f t="shared" si="0"/>
        <v>Y</v>
      </c>
      <c r="L164" s="2" t="s">
        <v>43</v>
      </c>
      <c r="M164" s="15" t="s">
        <v>47</v>
      </c>
      <c r="N164" s="22" t="s">
        <v>501</v>
      </c>
      <c r="O164" s="2" t="str">
        <f t="shared" ref="O164:O166" si="8">IF(COUNTIF(L164:N164, "Y")&gt;=2,"Y","N")</f>
        <v>N</v>
      </c>
    </row>
    <row r="165" spans="1:22" ht="13">
      <c r="A165" s="11" t="s">
        <v>547</v>
      </c>
      <c r="B165" s="12" t="s">
        <v>548</v>
      </c>
      <c r="C165" s="12" t="s">
        <v>117</v>
      </c>
      <c r="D165" s="12">
        <v>2021</v>
      </c>
      <c r="E165" s="12">
        <v>2021</v>
      </c>
      <c r="F165" s="12" t="s">
        <v>549</v>
      </c>
      <c r="H165" s="15" t="s">
        <v>47</v>
      </c>
      <c r="I165" s="20" t="s">
        <v>47</v>
      </c>
      <c r="J165" s="2" t="str">
        <f t="shared" si="0"/>
        <v>Y</v>
      </c>
      <c r="M165" s="15" t="s">
        <v>111</v>
      </c>
      <c r="N165" s="22" t="s">
        <v>111</v>
      </c>
      <c r="O165" s="2" t="str">
        <f t="shared" si="8"/>
        <v>N</v>
      </c>
    </row>
    <row r="166" spans="1:22" ht="13">
      <c r="A166" s="11" t="s">
        <v>550</v>
      </c>
      <c r="B166" s="12" t="s">
        <v>551</v>
      </c>
      <c r="C166" s="12" t="s">
        <v>56</v>
      </c>
      <c r="D166" s="12">
        <v>2022</v>
      </c>
      <c r="E166" s="12">
        <v>2022</v>
      </c>
      <c r="F166" s="12" t="s">
        <v>552</v>
      </c>
      <c r="G166" s="2" t="s">
        <v>47</v>
      </c>
      <c r="H166" s="15" t="s">
        <v>47</v>
      </c>
      <c r="I166" s="20" t="s">
        <v>119</v>
      </c>
      <c r="J166" s="2" t="str">
        <f t="shared" si="0"/>
        <v>Y</v>
      </c>
      <c r="L166" s="2" t="s">
        <v>43</v>
      </c>
      <c r="M166" s="15" t="s">
        <v>47</v>
      </c>
      <c r="N166" s="20" t="s">
        <v>43</v>
      </c>
      <c r="O166" s="2" t="str">
        <f t="shared" si="8"/>
        <v>N</v>
      </c>
      <c r="Q166" s="2"/>
      <c r="R166" s="2"/>
      <c r="S166" s="2"/>
      <c r="T166" s="2">
        <v>3</v>
      </c>
      <c r="U166" s="2" t="s">
        <v>80</v>
      </c>
      <c r="V166" s="2" t="s">
        <v>553</v>
      </c>
    </row>
    <row r="167" spans="1:22" ht="13">
      <c r="A167" s="11" t="s">
        <v>554</v>
      </c>
      <c r="B167" s="12" t="s">
        <v>555</v>
      </c>
      <c r="C167" s="12" t="s">
        <v>40</v>
      </c>
      <c r="D167" s="12">
        <v>2020</v>
      </c>
      <c r="E167" s="12">
        <v>2020</v>
      </c>
      <c r="F167" s="12" t="s">
        <v>556</v>
      </c>
      <c r="H167" s="15" t="s">
        <v>43</v>
      </c>
      <c r="I167" s="20" t="s">
        <v>43</v>
      </c>
      <c r="J167" s="2" t="str">
        <f t="shared" si="0"/>
        <v>N</v>
      </c>
    </row>
    <row r="168" spans="1:22" ht="13">
      <c r="A168" s="11" t="s">
        <v>557</v>
      </c>
      <c r="B168" s="19"/>
      <c r="C168" s="12" t="s">
        <v>253</v>
      </c>
      <c r="D168" s="12">
        <v>2020</v>
      </c>
      <c r="E168" s="12">
        <v>2020</v>
      </c>
      <c r="F168" s="19"/>
      <c r="H168" s="15" t="s">
        <v>119</v>
      </c>
      <c r="I168" s="20" t="s">
        <v>119</v>
      </c>
      <c r="J168" s="2" t="str">
        <f t="shared" si="0"/>
        <v>N</v>
      </c>
    </row>
    <row r="169" spans="1:22" ht="13">
      <c r="A169" s="11" t="s">
        <v>558</v>
      </c>
      <c r="B169" s="12" t="s">
        <v>559</v>
      </c>
      <c r="C169" s="12" t="s">
        <v>56</v>
      </c>
      <c r="D169" s="12">
        <v>2017</v>
      </c>
      <c r="E169" s="12">
        <v>2017</v>
      </c>
      <c r="F169" s="12" t="s">
        <v>560</v>
      </c>
      <c r="H169" s="15" t="s">
        <v>61</v>
      </c>
      <c r="I169" s="20" t="s">
        <v>61</v>
      </c>
      <c r="J169" s="2" t="str">
        <f t="shared" si="0"/>
        <v>N</v>
      </c>
    </row>
    <row r="170" spans="1:22" ht="13">
      <c r="A170" s="11" t="s">
        <v>561</v>
      </c>
      <c r="B170" s="12" t="s">
        <v>562</v>
      </c>
      <c r="C170" s="12" t="s">
        <v>117</v>
      </c>
      <c r="D170" s="12">
        <v>2015</v>
      </c>
      <c r="E170" s="12">
        <v>2015</v>
      </c>
      <c r="F170" s="12" t="s">
        <v>563</v>
      </c>
      <c r="H170" s="15" t="s">
        <v>119</v>
      </c>
      <c r="I170" s="20" t="s">
        <v>119</v>
      </c>
      <c r="J170" s="2" t="str">
        <f t="shared" si="0"/>
        <v>N</v>
      </c>
    </row>
    <row r="171" spans="1:22" ht="13">
      <c r="A171" s="11" t="s">
        <v>15</v>
      </c>
      <c r="B171" s="12" t="s">
        <v>564</v>
      </c>
      <c r="C171" s="12" t="s">
        <v>117</v>
      </c>
      <c r="D171" s="12">
        <v>2020</v>
      </c>
      <c r="E171" s="12">
        <v>2020</v>
      </c>
      <c r="F171" s="12" t="s">
        <v>2</v>
      </c>
      <c r="H171" s="15" t="s">
        <v>47</v>
      </c>
      <c r="I171" s="20" t="s">
        <v>47</v>
      </c>
      <c r="J171" s="2" t="str">
        <f t="shared" si="0"/>
        <v>Y</v>
      </c>
      <c r="M171" s="15" t="s">
        <v>47</v>
      </c>
      <c r="N171" s="22" t="s">
        <v>47</v>
      </c>
      <c r="O171" s="2" t="str">
        <f>IF(COUNTIF(L171:N171, "Y")&gt;=2,"Y","N")</f>
        <v>Y</v>
      </c>
      <c r="P171" s="4" t="s">
        <v>565</v>
      </c>
      <c r="Q171" s="2" t="s">
        <v>566</v>
      </c>
      <c r="R171" s="2" t="s">
        <v>79</v>
      </c>
      <c r="S171" s="2" t="s">
        <v>567</v>
      </c>
      <c r="T171" s="2">
        <v>5</v>
      </c>
      <c r="U171" s="16" t="s">
        <v>422</v>
      </c>
      <c r="V171" s="2" t="s">
        <v>568</v>
      </c>
    </row>
    <row r="172" spans="1:22" ht="13">
      <c r="A172" s="11" t="s">
        <v>569</v>
      </c>
      <c r="B172" s="12" t="s">
        <v>570</v>
      </c>
      <c r="C172" s="12" t="s">
        <v>117</v>
      </c>
      <c r="D172" s="12">
        <v>2014</v>
      </c>
      <c r="E172" s="12">
        <v>2014</v>
      </c>
      <c r="F172" s="12" t="s">
        <v>571</v>
      </c>
      <c r="H172" s="15" t="s">
        <v>43</v>
      </c>
      <c r="I172" s="20" t="s">
        <v>43</v>
      </c>
      <c r="J172" s="2" t="str">
        <f t="shared" si="0"/>
        <v>N</v>
      </c>
    </row>
    <row r="173" spans="1:22" ht="13">
      <c r="A173" s="11" t="s">
        <v>572</v>
      </c>
      <c r="B173" s="12" t="s">
        <v>573</v>
      </c>
      <c r="C173" s="12" t="s">
        <v>56</v>
      </c>
      <c r="D173" s="12">
        <v>2022</v>
      </c>
      <c r="E173" s="12">
        <v>2022</v>
      </c>
      <c r="F173" s="12" t="s">
        <v>574</v>
      </c>
      <c r="H173" s="15" t="s">
        <v>47</v>
      </c>
      <c r="I173" s="20" t="s">
        <v>47</v>
      </c>
      <c r="J173" s="2" t="str">
        <f t="shared" si="0"/>
        <v>Y</v>
      </c>
      <c r="M173" s="15" t="s">
        <v>47</v>
      </c>
      <c r="N173" s="22" t="s">
        <v>47</v>
      </c>
      <c r="O173" s="2" t="str">
        <f>IF(COUNTIF(L173:N173, "Y")&gt;=2,"Y","N")</f>
        <v>Y</v>
      </c>
      <c r="P173" s="4" t="s">
        <v>575</v>
      </c>
      <c r="Q173" s="2" t="s">
        <v>576</v>
      </c>
      <c r="R173" s="2" t="s">
        <v>79</v>
      </c>
      <c r="S173" s="2" t="s">
        <v>68</v>
      </c>
      <c r="T173" s="2">
        <v>2</v>
      </c>
      <c r="U173" s="16" t="s">
        <v>577</v>
      </c>
      <c r="V173" s="2" t="s">
        <v>578</v>
      </c>
    </row>
    <row r="174" spans="1:22" ht="13">
      <c r="A174" s="11" t="s">
        <v>579</v>
      </c>
      <c r="B174" s="12" t="s">
        <v>580</v>
      </c>
      <c r="C174" s="12" t="s">
        <v>56</v>
      </c>
      <c r="D174" s="12">
        <v>2014</v>
      </c>
      <c r="E174" s="12">
        <v>2014</v>
      </c>
      <c r="F174" s="12" t="s">
        <v>581</v>
      </c>
      <c r="H174" s="15" t="s">
        <v>43</v>
      </c>
      <c r="I174" s="20" t="s">
        <v>43</v>
      </c>
      <c r="J174" s="2" t="str">
        <f t="shared" si="0"/>
        <v>N</v>
      </c>
    </row>
    <row r="175" spans="1:22" ht="13">
      <c r="A175" s="11" t="s">
        <v>582</v>
      </c>
      <c r="B175" s="12" t="s">
        <v>583</v>
      </c>
      <c r="C175" s="12" t="s">
        <v>56</v>
      </c>
      <c r="D175" s="12">
        <v>2024</v>
      </c>
      <c r="E175" s="12">
        <v>2024</v>
      </c>
      <c r="F175" s="12" t="s">
        <v>584</v>
      </c>
      <c r="H175" s="15" t="s">
        <v>43</v>
      </c>
      <c r="I175" s="20" t="s">
        <v>43</v>
      </c>
      <c r="J175" s="2" t="str">
        <f t="shared" si="0"/>
        <v>N</v>
      </c>
    </row>
    <row r="176" spans="1:22" ht="13">
      <c r="A176" s="11" t="s">
        <v>585</v>
      </c>
      <c r="B176" s="12" t="s">
        <v>586</v>
      </c>
      <c r="C176" s="12" t="s">
        <v>117</v>
      </c>
      <c r="D176" s="12">
        <v>2019</v>
      </c>
      <c r="E176" s="12">
        <v>2019</v>
      </c>
      <c r="F176" s="12" t="s">
        <v>587</v>
      </c>
      <c r="H176" s="15" t="s">
        <v>61</v>
      </c>
      <c r="I176" s="20" t="s">
        <v>61</v>
      </c>
      <c r="J176" s="2" t="str">
        <f t="shared" si="0"/>
        <v>N</v>
      </c>
    </row>
    <row r="177" spans="1:23" ht="13">
      <c r="A177" s="11" t="s">
        <v>588</v>
      </c>
      <c r="B177" s="12" t="s">
        <v>589</v>
      </c>
      <c r="C177" s="12" t="s">
        <v>117</v>
      </c>
      <c r="D177" s="12">
        <v>2011</v>
      </c>
      <c r="E177" s="12">
        <v>2011</v>
      </c>
      <c r="F177" s="12" t="s">
        <v>590</v>
      </c>
      <c r="H177" s="15" t="s">
        <v>47</v>
      </c>
      <c r="I177" s="20" t="s">
        <v>47</v>
      </c>
      <c r="J177" s="2" t="str">
        <f t="shared" si="0"/>
        <v>Y</v>
      </c>
      <c r="M177" s="15" t="s">
        <v>43</v>
      </c>
      <c r="N177" s="22" t="s">
        <v>43</v>
      </c>
      <c r="O177" s="2" t="str">
        <f>IF(COUNTIF(L177:N177, "Y")&gt;=2,"Y","N")</f>
        <v>N</v>
      </c>
    </row>
    <row r="178" spans="1:23" ht="13">
      <c r="A178" s="11" t="s">
        <v>591</v>
      </c>
      <c r="B178" s="12" t="s">
        <v>570</v>
      </c>
      <c r="C178" s="12" t="s">
        <v>40</v>
      </c>
      <c r="D178" s="12">
        <v>2014</v>
      </c>
      <c r="E178" s="12">
        <v>2014</v>
      </c>
      <c r="F178" s="12" t="s">
        <v>592</v>
      </c>
      <c r="H178" s="15" t="s">
        <v>43</v>
      </c>
      <c r="I178" s="20" t="s">
        <v>43</v>
      </c>
      <c r="J178" s="2" t="str">
        <f t="shared" si="0"/>
        <v>N</v>
      </c>
    </row>
    <row r="179" spans="1:23" ht="13">
      <c r="A179" s="11" t="s">
        <v>593</v>
      </c>
      <c r="B179" s="12" t="s">
        <v>594</v>
      </c>
      <c r="C179" s="12" t="s">
        <v>117</v>
      </c>
      <c r="D179" s="12">
        <v>2026</v>
      </c>
      <c r="E179" s="12">
        <v>2026</v>
      </c>
      <c r="F179" s="12" t="s">
        <v>595</v>
      </c>
      <c r="H179" s="15" t="s">
        <v>47</v>
      </c>
      <c r="I179" s="20" t="s">
        <v>47</v>
      </c>
      <c r="J179" s="2" t="str">
        <f t="shared" si="0"/>
        <v>Y</v>
      </c>
      <c r="M179" s="15" t="s">
        <v>47</v>
      </c>
      <c r="N179" s="22" t="s">
        <v>47</v>
      </c>
      <c r="O179" s="2" t="str">
        <f t="shared" ref="O179:O180" si="9">IF(COUNTIF(L179:N179, "Y")&gt;=2,"Y","N")</f>
        <v>Y</v>
      </c>
      <c r="P179" s="5" t="s">
        <v>596</v>
      </c>
      <c r="Q179" s="2" t="s">
        <v>66</v>
      </c>
      <c r="R179" s="2" t="s">
        <v>79</v>
      </c>
      <c r="S179" s="2" t="s">
        <v>68</v>
      </c>
      <c r="T179" s="2">
        <v>3</v>
      </c>
      <c r="U179" s="16" t="s">
        <v>214</v>
      </c>
      <c r="V179" s="2" t="s">
        <v>597</v>
      </c>
    </row>
    <row r="180" spans="1:23" ht="13">
      <c r="A180" s="11" t="s">
        <v>13</v>
      </c>
      <c r="B180" s="12" t="s">
        <v>598</v>
      </c>
      <c r="C180" s="12" t="s">
        <v>56</v>
      </c>
      <c r="D180" s="12">
        <v>2024</v>
      </c>
      <c r="E180" s="13">
        <v>45562</v>
      </c>
      <c r="F180" s="12" t="s">
        <v>14</v>
      </c>
      <c r="G180" s="2" t="s">
        <v>47</v>
      </c>
      <c r="H180" s="15" t="s">
        <v>47</v>
      </c>
      <c r="I180" s="20" t="s">
        <v>43</v>
      </c>
      <c r="J180" s="2" t="str">
        <f t="shared" si="0"/>
        <v>Y</v>
      </c>
      <c r="L180" s="2" t="s">
        <v>43</v>
      </c>
      <c r="M180" s="15" t="s">
        <v>47</v>
      </c>
      <c r="N180" s="22" t="s">
        <v>501</v>
      </c>
      <c r="O180" s="2" t="str">
        <f t="shared" si="9"/>
        <v>N</v>
      </c>
      <c r="Q180" s="2"/>
      <c r="R180" s="2"/>
      <c r="S180" s="2"/>
      <c r="T180" s="2">
        <v>4</v>
      </c>
      <c r="U180" s="2" t="s">
        <v>314</v>
      </c>
      <c r="V180" s="2" t="s">
        <v>599</v>
      </c>
      <c r="W180" s="2" t="s">
        <v>600</v>
      </c>
    </row>
    <row r="181" spans="1:23" ht="13">
      <c r="A181" s="11" t="s">
        <v>601</v>
      </c>
      <c r="B181" s="12" t="s">
        <v>602</v>
      </c>
      <c r="C181" s="12" t="s">
        <v>117</v>
      </c>
      <c r="D181" s="12">
        <v>2015</v>
      </c>
      <c r="E181" s="12">
        <v>2015</v>
      </c>
      <c r="F181" s="12" t="s">
        <v>603</v>
      </c>
      <c r="H181" s="15" t="s">
        <v>119</v>
      </c>
      <c r="I181" s="20" t="s">
        <v>61</v>
      </c>
      <c r="J181" s="2" t="str">
        <f t="shared" si="0"/>
        <v>N</v>
      </c>
    </row>
    <row r="182" spans="1:23" ht="13">
      <c r="A182" s="11" t="s">
        <v>604</v>
      </c>
      <c r="B182" s="12" t="s">
        <v>605</v>
      </c>
      <c r="C182" s="12" t="s">
        <v>56</v>
      </c>
      <c r="D182" s="12">
        <v>2021</v>
      </c>
      <c r="E182" s="13">
        <v>44228</v>
      </c>
      <c r="F182" s="12" t="s">
        <v>606</v>
      </c>
      <c r="H182" s="15" t="s">
        <v>61</v>
      </c>
      <c r="I182" s="20" t="s">
        <v>61</v>
      </c>
      <c r="J182" s="2" t="str">
        <f t="shared" si="0"/>
        <v>N</v>
      </c>
    </row>
    <row r="183" spans="1:23" ht="13">
      <c r="A183" s="11" t="s">
        <v>607</v>
      </c>
      <c r="B183" s="12" t="s">
        <v>608</v>
      </c>
      <c r="C183" s="12" t="s">
        <v>56</v>
      </c>
      <c r="D183" s="12">
        <v>2020</v>
      </c>
      <c r="E183" s="12">
        <v>2020</v>
      </c>
      <c r="F183" s="12" t="s">
        <v>609</v>
      </c>
      <c r="H183" s="15" t="s">
        <v>61</v>
      </c>
      <c r="I183" s="20" t="s">
        <v>61</v>
      </c>
      <c r="J183" s="2" t="str">
        <f t="shared" si="0"/>
        <v>N</v>
      </c>
    </row>
    <row r="184" spans="1:23" ht="13">
      <c r="A184" s="11" t="s">
        <v>610</v>
      </c>
      <c r="B184" s="12" t="s">
        <v>611</v>
      </c>
      <c r="C184" s="12" t="s">
        <v>56</v>
      </c>
      <c r="D184" s="12">
        <v>2016</v>
      </c>
      <c r="E184" s="12">
        <v>2016</v>
      </c>
      <c r="F184" s="12" t="s">
        <v>612</v>
      </c>
      <c r="H184" s="15" t="s">
        <v>43</v>
      </c>
      <c r="I184" s="20" t="s">
        <v>43</v>
      </c>
      <c r="J184" s="2" t="str">
        <f t="shared" si="0"/>
        <v>N</v>
      </c>
    </row>
    <row r="185" spans="1:23" ht="13">
      <c r="A185" s="11" t="s">
        <v>613</v>
      </c>
      <c r="B185" s="12" t="s">
        <v>614</v>
      </c>
      <c r="C185" s="12" t="s">
        <v>56</v>
      </c>
      <c r="D185" s="12">
        <v>2023</v>
      </c>
      <c r="E185" s="12">
        <v>2023</v>
      </c>
      <c r="F185" s="12" t="s">
        <v>615</v>
      </c>
      <c r="H185" s="15" t="s">
        <v>43</v>
      </c>
      <c r="I185" s="20" t="s">
        <v>43</v>
      </c>
      <c r="J185" s="2" t="str">
        <f t="shared" si="0"/>
        <v>N</v>
      </c>
    </row>
    <row r="186" spans="1:23" ht="13">
      <c r="A186" s="11" t="s">
        <v>616</v>
      </c>
      <c r="B186" s="12" t="s">
        <v>617</v>
      </c>
      <c r="C186" s="12" t="s">
        <v>253</v>
      </c>
      <c r="D186" s="12">
        <v>2018</v>
      </c>
      <c r="E186" s="12">
        <v>2018</v>
      </c>
      <c r="F186" s="19"/>
      <c r="H186" s="15" t="s">
        <v>119</v>
      </c>
      <c r="I186" s="20" t="s">
        <v>119</v>
      </c>
      <c r="J186" s="2" t="str">
        <f t="shared" si="0"/>
        <v>N</v>
      </c>
    </row>
    <row r="187" spans="1:23" ht="13">
      <c r="A187" s="11" t="s">
        <v>618</v>
      </c>
      <c r="B187" s="12" t="s">
        <v>619</v>
      </c>
      <c r="C187" s="12" t="s">
        <v>56</v>
      </c>
      <c r="D187" s="12">
        <v>2025</v>
      </c>
      <c r="E187" s="12">
        <v>2025</v>
      </c>
      <c r="F187" s="12" t="s">
        <v>620</v>
      </c>
      <c r="H187" s="15" t="s">
        <v>47</v>
      </c>
      <c r="I187" s="20" t="s">
        <v>47</v>
      </c>
      <c r="J187" s="2" t="str">
        <f t="shared" si="0"/>
        <v>Y</v>
      </c>
      <c r="M187" s="15" t="s">
        <v>43</v>
      </c>
      <c r="N187" s="22" t="s">
        <v>43</v>
      </c>
      <c r="O187" s="2" t="str">
        <f>IF(COUNTIF(L187:N187, "Y")&gt;=2,"Y","N")</f>
        <v>N</v>
      </c>
      <c r="Q187" s="2"/>
      <c r="R187" s="2"/>
      <c r="S187" s="2"/>
      <c r="T187" s="2">
        <v>6</v>
      </c>
      <c r="U187" s="2" t="s">
        <v>621</v>
      </c>
      <c r="V187" s="2" t="s">
        <v>622</v>
      </c>
      <c r="W187" s="2" t="s">
        <v>623</v>
      </c>
    </row>
    <row r="188" spans="1:23" ht="13">
      <c r="A188" s="11" t="s">
        <v>624</v>
      </c>
      <c r="B188" s="12" t="s">
        <v>625</v>
      </c>
      <c r="C188" s="12" t="s">
        <v>56</v>
      </c>
      <c r="D188" s="12">
        <v>2020</v>
      </c>
      <c r="E188" s="12">
        <v>2020</v>
      </c>
      <c r="F188" s="12" t="s">
        <v>626</v>
      </c>
      <c r="H188" s="15" t="s">
        <v>43</v>
      </c>
      <c r="I188" s="20" t="s">
        <v>43</v>
      </c>
      <c r="J188" s="2" t="str">
        <f t="shared" si="0"/>
        <v>N</v>
      </c>
    </row>
    <row r="189" spans="1:23" ht="13">
      <c r="A189" s="11" t="s">
        <v>627</v>
      </c>
      <c r="B189" s="12" t="s">
        <v>628</v>
      </c>
      <c r="C189" s="12" t="s">
        <v>56</v>
      </c>
      <c r="D189" s="12">
        <v>2018</v>
      </c>
      <c r="E189" s="12">
        <v>2018</v>
      </c>
      <c r="F189" s="12" t="s">
        <v>629</v>
      </c>
      <c r="G189" s="2" t="s">
        <v>43</v>
      </c>
      <c r="H189" s="15" t="s">
        <v>47</v>
      </c>
      <c r="I189" s="20" t="s">
        <v>43</v>
      </c>
      <c r="J189" s="2" t="str">
        <f t="shared" si="0"/>
        <v>N</v>
      </c>
    </row>
    <row r="190" spans="1:23" ht="13">
      <c r="A190" s="11" t="s">
        <v>630</v>
      </c>
      <c r="B190" s="12" t="s">
        <v>631</v>
      </c>
      <c r="C190" s="12" t="s">
        <v>56</v>
      </c>
      <c r="D190" s="12">
        <v>2022</v>
      </c>
      <c r="E190" s="12">
        <v>2022</v>
      </c>
      <c r="F190" s="12" t="s">
        <v>632</v>
      </c>
      <c r="H190" s="15" t="s">
        <v>43</v>
      </c>
      <c r="I190" s="20" t="s">
        <v>43</v>
      </c>
      <c r="J190" s="2" t="str">
        <f t="shared" si="0"/>
        <v>N</v>
      </c>
    </row>
    <row r="191" spans="1:23" ht="13">
      <c r="A191" s="11" t="s">
        <v>633</v>
      </c>
      <c r="B191" s="12" t="s">
        <v>634</v>
      </c>
      <c r="C191" s="12" t="s">
        <v>56</v>
      </c>
      <c r="D191" s="12">
        <v>2011</v>
      </c>
      <c r="E191" s="12">
        <v>2011</v>
      </c>
      <c r="F191" s="12" t="s">
        <v>635</v>
      </c>
      <c r="H191" s="15" t="s">
        <v>43</v>
      </c>
      <c r="I191" s="20" t="s">
        <v>43</v>
      </c>
      <c r="J191" s="2" t="str">
        <f t="shared" si="0"/>
        <v>N</v>
      </c>
    </row>
    <row r="192" spans="1:23" ht="13">
      <c r="A192" s="11" t="s">
        <v>636</v>
      </c>
      <c r="B192" s="12" t="s">
        <v>637</v>
      </c>
      <c r="C192" s="12" t="s">
        <v>56</v>
      </c>
      <c r="D192" s="12">
        <v>2003</v>
      </c>
      <c r="E192" s="12">
        <v>2003</v>
      </c>
      <c r="F192" s="12" t="s">
        <v>638</v>
      </c>
      <c r="H192" s="15" t="s">
        <v>119</v>
      </c>
      <c r="I192" s="20" t="s">
        <v>119</v>
      </c>
      <c r="J192" s="2" t="str">
        <f t="shared" si="0"/>
        <v>N</v>
      </c>
    </row>
    <row r="193" spans="1:22" ht="13">
      <c r="A193" s="11" t="s">
        <v>639</v>
      </c>
      <c r="B193" s="12" t="s">
        <v>640</v>
      </c>
      <c r="C193" s="12" t="s">
        <v>56</v>
      </c>
      <c r="D193" s="12">
        <v>2008</v>
      </c>
      <c r="E193" s="12">
        <v>2008</v>
      </c>
      <c r="F193" s="12" t="s">
        <v>641</v>
      </c>
      <c r="H193" s="15" t="s">
        <v>47</v>
      </c>
      <c r="I193" s="20" t="s">
        <v>47</v>
      </c>
      <c r="J193" s="2" t="str">
        <f t="shared" si="0"/>
        <v>Y</v>
      </c>
      <c r="M193" s="15" t="s">
        <v>43</v>
      </c>
      <c r="N193" s="22" t="s">
        <v>43</v>
      </c>
      <c r="O193" s="2" t="str">
        <f>IF(COUNTIF(L193:N193, "Y")&gt;=2,"Y","N")</f>
        <v>N</v>
      </c>
    </row>
    <row r="194" spans="1:22" ht="13">
      <c r="A194" s="11" t="s">
        <v>642</v>
      </c>
      <c r="B194" s="12" t="s">
        <v>643</v>
      </c>
      <c r="C194" s="12" t="s">
        <v>56</v>
      </c>
      <c r="D194" s="12">
        <v>2025</v>
      </c>
      <c r="E194" s="18">
        <v>45689</v>
      </c>
      <c r="F194" s="12" t="s">
        <v>644</v>
      </c>
      <c r="H194" s="15" t="s">
        <v>43</v>
      </c>
      <c r="I194" s="20" t="s">
        <v>43</v>
      </c>
      <c r="J194" s="2" t="str">
        <f t="shared" si="0"/>
        <v>N</v>
      </c>
    </row>
    <row r="195" spans="1:22" ht="13">
      <c r="A195" s="11" t="s">
        <v>645</v>
      </c>
      <c r="B195" s="12" t="s">
        <v>646</v>
      </c>
      <c r="C195" s="12" t="s">
        <v>56</v>
      </c>
      <c r="D195" s="12">
        <v>2022</v>
      </c>
      <c r="E195" s="12">
        <v>2022</v>
      </c>
      <c r="F195" s="12" t="s">
        <v>647</v>
      </c>
      <c r="H195" s="15" t="s">
        <v>43</v>
      </c>
      <c r="I195" s="20" t="s">
        <v>43</v>
      </c>
      <c r="J195" s="2" t="str">
        <f t="shared" si="0"/>
        <v>N</v>
      </c>
    </row>
    <row r="196" spans="1:22" ht="13">
      <c r="A196" s="11" t="s">
        <v>648</v>
      </c>
      <c r="B196" s="12" t="s">
        <v>649</v>
      </c>
      <c r="C196" s="12" t="s">
        <v>56</v>
      </c>
      <c r="D196" s="12">
        <v>2022</v>
      </c>
      <c r="E196" s="12">
        <v>2022</v>
      </c>
      <c r="F196" s="12" t="s">
        <v>650</v>
      </c>
      <c r="H196" s="15" t="s">
        <v>42</v>
      </c>
      <c r="I196" s="20" t="s">
        <v>42</v>
      </c>
      <c r="J196" s="2" t="str">
        <f t="shared" si="0"/>
        <v>N</v>
      </c>
    </row>
    <row r="197" spans="1:22" ht="13">
      <c r="A197" s="11" t="s">
        <v>651</v>
      </c>
      <c r="B197" s="12" t="s">
        <v>652</v>
      </c>
      <c r="C197" s="12" t="s">
        <v>56</v>
      </c>
      <c r="D197" s="12">
        <v>2023</v>
      </c>
      <c r="E197" s="18">
        <v>44927</v>
      </c>
      <c r="F197" s="12" t="s">
        <v>653</v>
      </c>
      <c r="H197" s="15" t="s">
        <v>47</v>
      </c>
      <c r="I197" s="20" t="s">
        <v>47</v>
      </c>
      <c r="J197" s="2" t="str">
        <f t="shared" si="0"/>
        <v>Y</v>
      </c>
      <c r="M197" s="15" t="s">
        <v>43</v>
      </c>
      <c r="N197" s="22" t="s">
        <v>43</v>
      </c>
      <c r="O197" s="2" t="str">
        <f>IF(COUNTIF(L197:N197, "Y")&gt;=2,"Y","N")</f>
        <v>N</v>
      </c>
    </row>
    <row r="198" spans="1:22" ht="13">
      <c r="A198" s="11" t="s">
        <v>654</v>
      </c>
      <c r="B198" s="12" t="s">
        <v>655</v>
      </c>
      <c r="C198" s="12" t="s">
        <v>56</v>
      </c>
      <c r="D198" s="12">
        <v>2019</v>
      </c>
      <c r="E198" s="12">
        <v>2019</v>
      </c>
      <c r="F198" s="12" t="s">
        <v>656</v>
      </c>
      <c r="H198" s="15" t="s">
        <v>61</v>
      </c>
      <c r="I198" s="20" t="s">
        <v>61</v>
      </c>
      <c r="J198" s="2" t="str">
        <f t="shared" si="0"/>
        <v>N</v>
      </c>
    </row>
    <row r="199" spans="1:22" ht="13">
      <c r="A199" s="11" t="s">
        <v>657</v>
      </c>
      <c r="B199" s="12" t="s">
        <v>533</v>
      </c>
      <c r="C199" s="12" t="s">
        <v>117</v>
      </c>
      <c r="D199" s="12">
        <v>2020</v>
      </c>
      <c r="E199" s="12">
        <v>2020</v>
      </c>
      <c r="F199" s="12" t="s">
        <v>571</v>
      </c>
      <c r="G199" s="2" t="s">
        <v>43</v>
      </c>
      <c r="H199" s="15" t="s">
        <v>47</v>
      </c>
      <c r="I199" s="20" t="s">
        <v>43</v>
      </c>
      <c r="J199" s="2" t="str">
        <f t="shared" si="0"/>
        <v>N</v>
      </c>
    </row>
    <row r="200" spans="1:22" ht="13">
      <c r="A200" s="11" t="s">
        <v>658</v>
      </c>
      <c r="B200" s="12" t="s">
        <v>659</v>
      </c>
      <c r="C200" s="12" t="s">
        <v>40</v>
      </c>
      <c r="D200" s="12">
        <v>2014</v>
      </c>
      <c r="E200" s="12">
        <v>2014</v>
      </c>
      <c r="F200" s="12" t="s">
        <v>660</v>
      </c>
      <c r="H200" s="15" t="s">
        <v>43</v>
      </c>
      <c r="I200" s="20" t="s">
        <v>43</v>
      </c>
      <c r="J200" s="2" t="str">
        <f t="shared" si="0"/>
        <v>N</v>
      </c>
    </row>
    <row r="201" spans="1:22" ht="13">
      <c r="A201" s="11" t="s">
        <v>661</v>
      </c>
      <c r="B201" s="12" t="s">
        <v>662</v>
      </c>
      <c r="C201" s="12" t="s">
        <v>117</v>
      </c>
      <c r="D201" s="12">
        <v>2024</v>
      </c>
      <c r="E201" s="12">
        <v>2024</v>
      </c>
      <c r="F201" s="12" t="s">
        <v>663</v>
      </c>
      <c r="H201" s="15" t="s">
        <v>43</v>
      </c>
      <c r="I201" s="20" t="s">
        <v>43</v>
      </c>
      <c r="J201" s="2" t="str">
        <f t="shared" si="0"/>
        <v>N</v>
      </c>
    </row>
    <row r="202" spans="1:22" ht="13">
      <c r="A202" s="11" t="s">
        <v>664</v>
      </c>
      <c r="B202" s="12" t="s">
        <v>665</v>
      </c>
      <c r="C202" s="12" t="s">
        <v>56</v>
      </c>
      <c r="D202" s="12">
        <v>2023</v>
      </c>
      <c r="E202" s="12">
        <v>2023</v>
      </c>
      <c r="F202" s="12" t="s">
        <v>666</v>
      </c>
      <c r="H202" s="15" t="s">
        <v>47</v>
      </c>
      <c r="I202" s="20" t="s">
        <v>47</v>
      </c>
      <c r="J202" s="2" t="str">
        <f t="shared" si="0"/>
        <v>Y</v>
      </c>
      <c r="M202" s="15" t="s">
        <v>47</v>
      </c>
      <c r="N202" s="22" t="s">
        <v>47</v>
      </c>
      <c r="O202" s="2" t="str">
        <f>IF(COUNTIF(L202:N202, "Y")&gt;=2,"Y","N")</f>
        <v>Y</v>
      </c>
      <c r="P202" s="4" t="s">
        <v>667</v>
      </c>
      <c r="Q202" s="2" t="s">
        <v>540</v>
      </c>
      <c r="R202" s="2" t="s">
        <v>668</v>
      </c>
      <c r="S202" s="2" t="s">
        <v>540</v>
      </c>
      <c r="T202" s="2">
        <v>4</v>
      </c>
      <c r="U202" s="16" t="s">
        <v>80</v>
      </c>
      <c r="V202" s="2" t="s">
        <v>669</v>
      </c>
    </row>
    <row r="203" spans="1:22" ht="13">
      <c r="A203" s="11" t="s">
        <v>670</v>
      </c>
      <c r="B203" s="12" t="s">
        <v>671</v>
      </c>
      <c r="C203" s="12" t="s">
        <v>56</v>
      </c>
      <c r="D203" s="12">
        <v>2014</v>
      </c>
      <c r="E203" s="12">
        <v>2014</v>
      </c>
      <c r="F203" s="12" t="s">
        <v>672</v>
      </c>
      <c r="H203" s="15" t="s">
        <v>43</v>
      </c>
      <c r="I203" s="20" t="s">
        <v>43</v>
      </c>
      <c r="J203" s="2" t="str">
        <f t="shared" si="0"/>
        <v>N</v>
      </c>
    </row>
    <row r="204" spans="1:22" ht="13">
      <c r="A204" s="11" t="s">
        <v>673</v>
      </c>
      <c r="B204" s="12" t="s">
        <v>674</v>
      </c>
      <c r="C204" s="12" t="s">
        <v>40</v>
      </c>
      <c r="D204" s="12">
        <v>2011</v>
      </c>
      <c r="E204" s="12">
        <v>2011</v>
      </c>
      <c r="F204" s="12" t="s">
        <v>675</v>
      </c>
      <c r="G204" s="2" t="s">
        <v>43</v>
      </c>
      <c r="H204" s="15" t="s">
        <v>47</v>
      </c>
      <c r="I204" s="20" t="s">
        <v>43</v>
      </c>
      <c r="J204" s="2" t="str">
        <f t="shared" si="0"/>
        <v>N</v>
      </c>
    </row>
    <row r="205" spans="1:22" ht="13">
      <c r="A205" s="11" t="s">
        <v>676</v>
      </c>
      <c r="B205" s="12" t="s">
        <v>677</v>
      </c>
      <c r="C205" s="12" t="s">
        <v>253</v>
      </c>
      <c r="D205" s="12">
        <v>1997</v>
      </c>
      <c r="E205" s="12">
        <v>1997</v>
      </c>
      <c r="F205" s="19"/>
      <c r="H205" s="15" t="s">
        <v>119</v>
      </c>
      <c r="I205" s="20" t="s">
        <v>119</v>
      </c>
      <c r="J205" s="2" t="str">
        <f t="shared" si="0"/>
        <v>N</v>
      </c>
    </row>
    <row r="206" spans="1:22" ht="13">
      <c r="A206" s="11" t="s">
        <v>678</v>
      </c>
      <c r="B206" s="12" t="s">
        <v>679</v>
      </c>
      <c r="C206" s="12" t="s">
        <v>56</v>
      </c>
      <c r="D206" s="12">
        <v>2011</v>
      </c>
      <c r="E206" s="12">
        <v>2011</v>
      </c>
      <c r="F206" s="12" t="s">
        <v>680</v>
      </c>
      <c r="H206" s="15" t="s">
        <v>43</v>
      </c>
      <c r="I206" s="20" t="s">
        <v>43</v>
      </c>
      <c r="J206" s="2" t="str">
        <f t="shared" si="0"/>
        <v>N</v>
      </c>
    </row>
    <row r="207" spans="1:22" ht="13">
      <c r="A207" s="11" t="s">
        <v>681</v>
      </c>
      <c r="B207" s="12" t="s">
        <v>682</v>
      </c>
      <c r="C207" s="12" t="s">
        <v>117</v>
      </c>
      <c r="D207" s="12">
        <v>2008</v>
      </c>
      <c r="E207" s="12">
        <v>2008</v>
      </c>
      <c r="F207" s="12" t="s">
        <v>590</v>
      </c>
      <c r="G207" s="2" t="s">
        <v>43</v>
      </c>
      <c r="H207" s="15" t="s">
        <v>43</v>
      </c>
      <c r="I207" s="20" t="s">
        <v>47</v>
      </c>
      <c r="J207" s="2" t="str">
        <f t="shared" si="0"/>
        <v>N</v>
      </c>
    </row>
    <row r="208" spans="1:22" ht="13">
      <c r="A208" s="11" t="s">
        <v>683</v>
      </c>
      <c r="B208" s="12" t="s">
        <v>684</v>
      </c>
      <c r="C208" s="12" t="s">
        <v>56</v>
      </c>
      <c r="D208" s="12">
        <v>2005</v>
      </c>
      <c r="E208" s="12">
        <v>2005</v>
      </c>
      <c r="F208" s="12" t="s">
        <v>685</v>
      </c>
      <c r="H208" s="15" t="s">
        <v>43</v>
      </c>
      <c r="I208" s="20" t="s">
        <v>43</v>
      </c>
      <c r="J208" s="2" t="str">
        <f t="shared" si="0"/>
        <v>N</v>
      </c>
    </row>
    <row r="209" spans="1:22" ht="13">
      <c r="A209" s="11" t="s">
        <v>686</v>
      </c>
      <c r="B209" s="12" t="s">
        <v>687</v>
      </c>
      <c r="C209" s="12" t="s">
        <v>56</v>
      </c>
      <c r="D209" s="12">
        <v>2014</v>
      </c>
      <c r="E209" s="12">
        <v>2014</v>
      </c>
      <c r="F209" s="12" t="s">
        <v>688</v>
      </c>
      <c r="G209" s="2" t="s">
        <v>43</v>
      </c>
      <c r="H209" s="15" t="s">
        <v>43</v>
      </c>
      <c r="I209" s="20" t="s">
        <v>47</v>
      </c>
      <c r="J209" s="2" t="str">
        <f t="shared" si="0"/>
        <v>N</v>
      </c>
    </row>
    <row r="210" spans="1:22" ht="13">
      <c r="A210" s="11" t="s">
        <v>689</v>
      </c>
      <c r="B210" s="12" t="s">
        <v>690</v>
      </c>
      <c r="C210" s="12" t="s">
        <v>56</v>
      </c>
      <c r="D210" s="12">
        <v>2023</v>
      </c>
      <c r="E210" s="12">
        <v>2023</v>
      </c>
      <c r="F210" s="12" t="s">
        <v>691</v>
      </c>
      <c r="G210" s="2" t="s">
        <v>43</v>
      </c>
      <c r="H210" s="15" t="s">
        <v>47</v>
      </c>
      <c r="I210" s="20" t="s">
        <v>43</v>
      </c>
      <c r="J210" s="2" t="str">
        <f t="shared" si="0"/>
        <v>N</v>
      </c>
    </row>
    <row r="211" spans="1:22" ht="13">
      <c r="A211" s="11" t="s">
        <v>692</v>
      </c>
      <c r="B211" s="12" t="s">
        <v>693</v>
      </c>
      <c r="C211" s="12" t="s">
        <v>56</v>
      </c>
      <c r="D211" s="12">
        <v>2021</v>
      </c>
      <c r="E211" s="13">
        <v>44379</v>
      </c>
      <c r="F211" s="12" t="s">
        <v>571</v>
      </c>
      <c r="H211" s="15" t="s">
        <v>43</v>
      </c>
      <c r="I211" s="20" t="s">
        <v>43</v>
      </c>
      <c r="J211" s="2" t="str">
        <f t="shared" si="0"/>
        <v>N</v>
      </c>
    </row>
    <row r="212" spans="1:22" ht="13">
      <c r="A212" s="11" t="s">
        <v>694</v>
      </c>
      <c r="B212" s="12" t="s">
        <v>695</v>
      </c>
      <c r="C212" s="12" t="s">
        <v>117</v>
      </c>
      <c r="D212" s="12">
        <v>2010</v>
      </c>
      <c r="E212" s="12">
        <v>2010</v>
      </c>
      <c r="F212" s="12" t="s">
        <v>696</v>
      </c>
      <c r="H212" s="15" t="s">
        <v>47</v>
      </c>
      <c r="I212" s="20" t="s">
        <v>47</v>
      </c>
      <c r="J212" s="2" t="str">
        <f t="shared" si="0"/>
        <v>Y</v>
      </c>
      <c r="M212" s="15" t="s">
        <v>47</v>
      </c>
      <c r="N212" s="22" t="s">
        <v>47</v>
      </c>
      <c r="O212" s="2" t="str">
        <f>IF(COUNTIF(L212:N212, "Y")&gt;=2,"Y","N")</f>
        <v>Y</v>
      </c>
      <c r="P212" s="4" t="s">
        <v>697</v>
      </c>
      <c r="Q212" s="2" t="s">
        <v>540</v>
      </c>
      <c r="R212" s="2" t="s">
        <v>698</v>
      </c>
      <c r="S212" s="2" t="s">
        <v>540</v>
      </c>
      <c r="T212" s="2">
        <v>5</v>
      </c>
      <c r="U212" s="16" t="s">
        <v>314</v>
      </c>
      <c r="V212" s="2" t="s">
        <v>699</v>
      </c>
    </row>
    <row r="213" spans="1:22" ht="13">
      <c r="A213" s="11" t="s">
        <v>700</v>
      </c>
      <c r="B213" s="12" t="s">
        <v>701</v>
      </c>
      <c r="C213" s="12" t="s">
        <v>40</v>
      </c>
      <c r="D213" s="12">
        <v>1995</v>
      </c>
      <c r="E213" s="12">
        <v>1995</v>
      </c>
      <c r="F213" s="12" t="s">
        <v>702</v>
      </c>
      <c r="H213" s="15" t="s">
        <v>119</v>
      </c>
      <c r="I213" s="20" t="s">
        <v>61</v>
      </c>
      <c r="J213" s="2" t="str">
        <f t="shared" si="0"/>
        <v>N</v>
      </c>
    </row>
    <row r="214" spans="1:22" ht="13">
      <c r="A214" s="11" t="s">
        <v>703</v>
      </c>
      <c r="B214" s="12" t="s">
        <v>509</v>
      </c>
      <c r="C214" s="12" t="s">
        <v>40</v>
      </c>
      <c r="D214" s="12">
        <v>2020</v>
      </c>
      <c r="E214" s="12">
        <v>2020</v>
      </c>
      <c r="F214" s="12" t="s">
        <v>510</v>
      </c>
      <c r="H214" s="15" t="s">
        <v>43</v>
      </c>
      <c r="I214" s="20" t="s">
        <v>42</v>
      </c>
      <c r="J214" s="2" t="str">
        <f t="shared" si="0"/>
        <v>N</v>
      </c>
    </row>
    <row r="215" spans="1:22" ht="13">
      <c r="A215" s="11" t="s">
        <v>704</v>
      </c>
      <c r="B215" s="12" t="s">
        <v>705</v>
      </c>
      <c r="C215" s="12" t="s">
        <v>40</v>
      </c>
      <c r="D215" s="12">
        <v>2023</v>
      </c>
      <c r="E215" s="12">
        <v>2023</v>
      </c>
      <c r="F215" s="12" t="s">
        <v>706</v>
      </c>
      <c r="H215" s="15" t="s">
        <v>47</v>
      </c>
      <c r="I215" s="20" t="s">
        <v>47</v>
      </c>
      <c r="J215" s="2" t="str">
        <f t="shared" si="0"/>
        <v>Y</v>
      </c>
      <c r="M215" s="15" t="s">
        <v>47</v>
      </c>
      <c r="N215" s="22" t="s">
        <v>47</v>
      </c>
      <c r="O215" s="2" t="str">
        <f t="shared" ref="O215:O216" si="10">IF(COUNTIF(L215:N215, "Y")&gt;=2,"Y","N")</f>
        <v>Y</v>
      </c>
      <c r="P215" s="5" t="s">
        <v>12</v>
      </c>
      <c r="Q215" s="2" t="s">
        <v>576</v>
      </c>
      <c r="R215" s="2" t="s">
        <v>79</v>
      </c>
      <c r="S215" s="2" t="s">
        <v>68</v>
      </c>
      <c r="T215" s="2">
        <v>2</v>
      </c>
      <c r="U215" s="16" t="s">
        <v>69</v>
      </c>
      <c r="V215" s="2" t="s">
        <v>707</v>
      </c>
    </row>
    <row r="216" spans="1:22" ht="13">
      <c r="A216" s="11" t="s">
        <v>708</v>
      </c>
      <c r="B216" s="12" t="s">
        <v>709</v>
      </c>
      <c r="C216" s="12" t="s">
        <v>56</v>
      </c>
      <c r="D216" s="12">
        <v>2023</v>
      </c>
      <c r="E216" s="12">
        <v>2023</v>
      </c>
      <c r="F216" s="12" t="s">
        <v>710</v>
      </c>
      <c r="H216" s="15" t="s">
        <v>47</v>
      </c>
      <c r="I216" s="20" t="s">
        <v>47</v>
      </c>
      <c r="J216" s="2" t="str">
        <f t="shared" si="0"/>
        <v>Y</v>
      </c>
      <c r="M216" s="15" t="s">
        <v>43</v>
      </c>
      <c r="N216" s="22" t="s">
        <v>43</v>
      </c>
      <c r="O216" s="2" t="str">
        <f t="shared" si="10"/>
        <v>N</v>
      </c>
    </row>
    <row r="217" spans="1:22" ht="13">
      <c r="A217" s="11" t="s">
        <v>711</v>
      </c>
      <c r="B217" s="12" t="s">
        <v>712</v>
      </c>
      <c r="C217" s="12" t="s">
        <v>40</v>
      </c>
      <c r="D217" s="12">
        <v>2003</v>
      </c>
      <c r="E217" s="12">
        <v>2003</v>
      </c>
      <c r="F217" s="12" t="s">
        <v>177</v>
      </c>
      <c r="H217" s="15" t="s">
        <v>42</v>
      </c>
      <c r="I217" s="20" t="s">
        <v>43</v>
      </c>
      <c r="J217" s="2" t="str">
        <f t="shared" si="0"/>
        <v>N</v>
      </c>
    </row>
    <row r="218" spans="1:22" ht="13">
      <c r="A218" s="11" t="s">
        <v>713</v>
      </c>
      <c r="B218" s="12" t="s">
        <v>714</v>
      </c>
      <c r="C218" s="12" t="s">
        <v>56</v>
      </c>
      <c r="D218" s="12">
        <v>2023</v>
      </c>
      <c r="E218" s="12">
        <v>2023</v>
      </c>
      <c r="F218" s="12" t="s">
        <v>715</v>
      </c>
      <c r="G218" s="2" t="s">
        <v>43</v>
      </c>
      <c r="H218" s="15" t="s">
        <v>47</v>
      </c>
      <c r="I218" s="20" t="s">
        <v>43</v>
      </c>
      <c r="J218" s="2" t="str">
        <f t="shared" si="0"/>
        <v>N</v>
      </c>
    </row>
    <row r="219" spans="1:22" ht="13">
      <c r="A219" s="11" t="s">
        <v>716</v>
      </c>
      <c r="B219" s="12" t="s">
        <v>507</v>
      </c>
      <c r="C219" s="12" t="s">
        <v>56</v>
      </c>
      <c r="D219" s="12">
        <v>2003</v>
      </c>
      <c r="E219" s="12">
        <v>2003</v>
      </c>
      <c r="F219" s="12" t="s">
        <v>688</v>
      </c>
      <c r="H219" s="15" t="s">
        <v>43</v>
      </c>
      <c r="I219" s="20" t="s">
        <v>43</v>
      </c>
      <c r="J219" s="2" t="str">
        <f t="shared" si="0"/>
        <v>N</v>
      </c>
    </row>
    <row r="220" spans="1:22" ht="13">
      <c r="A220" s="11" t="s">
        <v>717</v>
      </c>
      <c r="B220" s="12" t="s">
        <v>718</v>
      </c>
      <c r="C220" s="12" t="s">
        <v>56</v>
      </c>
      <c r="D220" s="12">
        <v>2012</v>
      </c>
      <c r="E220" s="12">
        <v>2012</v>
      </c>
      <c r="F220" s="12" t="s">
        <v>688</v>
      </c>
      <c r="G220" s="2" t="s">
        <v>43</v>
      </c>
      <c r="H220" s="15" t="s">
        <v>47</v>
      </c>
      <c r="I220" s="20" t="s">
        <v>43</v>
      </c>
      <c r="J220" s="2" t="str">
        <f t="shared" si="0"/>
        <v>N</v>
      </c>
    </row>
    <row r="221" spans="1:22" ht="13">
      <c r="A221" s="11" t="s">
        <v>719</v>
      </c>
      <c r="B221" s="12" t="s">
        <v>720</v>
      </c>
      <c r="C221" s="12" t="s">
        <v>40</v>
      </c>
      <c r="D221" s="12">
        <v>1998</v>
      </c>
      <c r="E221" s="12">
        <v>1998</v>
      </c>
      <c r="F221" s="12" t="s">
        <v>721</v>
      </c>
      <c r="H221" s="15" t="s">
        <v>43</v>
      </c>
      <c r="I221" s="20" t="s">
        <v>43</v>
      </c>
      <c r="J221" s="2" t="str">
        <f t="shared" si="0"/>
        <v>N</v>
      </c>
    </row>
    <row r="222" spans="1:22" ht="13">
      <c r="A222" s="11" t="s">
        <v>722</v>
      </c>
      <c r="B222" s="12" t="s">
        <v>515</v>
      </c>
      <c r="C222" s="12" t="s">
        <v>117</v>
      </c>
      <c r="D222" s="12">
        <v>2019</v>
      </c>
      <c r="E222" s="12">
        <v>2019</v>
      </c>
      <c r="F222" s="12" t="s">
        <v>500</v>
      </c>
      <c r="H222" s="15" t="s">
        <v>47</v>
      </c>
      <c r="I222" s="20" t="s">
        <v>47</v>
      </c>
      <c r="J222" s="2" t="str">
        <f t="shared" si="0"/>
        <v>Y</v>
      </c>
      <c r="M222" s="15" t="s">
        <v>47</v>
      </c>
      <c r="N222" s="22" t="s">
        <v>47</v>
      </c>
      <c r="O222" s="2" t="str">
        <f>IF(COUNTIF(L222:N222, "Y")&gt;=2,"Y","N")</f>
        <v>Y</v>
      </c>
      <c r="P222" s="5" t="s">
        <v>723</v>
      </c>
      <c r="Q222" s="2" t="s">
        <v>724</v>
      </c>
      <c r="R222" s="2" t="s">
        <v>79</v>
      </c>
      <c r="S222" s="2" t="s">
        <v>68</v>
      </c>
      <c r="T222" s="2">
        <v>2</v>
      </c>
      <c r="U222" s="16" t="s">
        <v>80</v>
      </c>
      <c r="V222" s="2" t="s">
        <v>725</v>
      </c>
    </row>
    <row r="223" spans="1:22" ht="13">
      <c r="A223" s="11" t="s">
        <v>726</v>
      </c>
      <c r="B223" s="12" t="s">
        <v>727</v>
      </c>
      <c r="C223" s="12" t="s">
        <v>56</v>
      </c>
      <c r="D223" s="12">
        <v>2020</v>
      </c>
      <c r="E223" s="12">
        <v>2020</v>
      </c>
      <c r="F223" s="12" t="s">
        <v>728</v>
      </c>
      <c r="H223" s="15" t="s">
        <v>43</v>
      </c>
      <c r="I223" s="20" t="s">
        <v>43</v>
      </c>
      <c r="J223" s="2" t="str">
        <f t="shared" si="0"/>
        <v>N</v>
      </c>
    </row>
    <row r="224" spans="1:22" ht="13">
      <c r="A224" s="11" t="s">
        <v>729</v>
      </c>
      <c r="B224" s="12" t="s">
        <v>602</v>
      </c>
      <c r="C224" s="12" t="s">
        <v>117</v>
      </c>
      <c r="D224" s="12">
        <v>2021</v>
      </c>
      <c r="E224" s="12">
        <v>2021</v>
      </c>
      <c r="F224" s="12" t="s">
        <v>730</v>
      </c>
      <c r="H224" s="15" t="s">
        <v>47</v>
      </c>
      <c r="I224" s="20" t="s">
        <v>47</v>
      </c>
      <c r="J224" s="2" t="str">
        <f t="shared" si="0"/>
        <v>Y</v>
      </c>
      <c r="M224" s="15" t="s">
        <v>43</v>
      </c>
      <c r="N224" s="22" t="s">
        <v>43</v>
      </c>
      <c r="O224" s="2" t="str">
        <f>IF(COUNTIF(L224:N224, "Y")&gt;=2,"Y","N")</f>
        <v>N</v>
      </c>
    </row>
    <row r="225" spans="1:22" ht="13">
      <c r="A225" s="11" t="s">
        <v>731</v>
      </c>
      <c r="B225" s="12" t="s">
        <v>732</v>
      </c>
      <c r="C225" s="12" t="s">
        <v>56</v>
      </c>
      <c r="D225" s="12">
        <v>2025</v>
      </c>
      <c r="E225" s="12">
        <v>2025</v>
      </c>
      <c r="F225" s="12" t="s">
        <v>733</v>
      </c>
      <c r="H225" s="15" t="s">
        <v>42</v>
      </c>
      <c r="I225" s="20" t="s">
        <v>42</v>
      </c>
      <c r="J225" s="2" t="str">
        <f t="shared" si="0"/>
        <v>N</v>
      </c>
    </row>
    <row r="226" spans="1:22" ht="13">
      <c r="A226" s="11" t="s">
        <v>734</v>
      </c>
      <c r="B226" s="12" t="s">
        <v>735</v>
      </c>
      <c r="C226" s="12" t="s">
        <v>40</v>
      </c>
      <c r="D226" s="12">
        <v>2018</v>
      </c>
      <c r="E226" s="12">
        <v>2018</v>
      </c>
      <c r="F226" s="12" t="s">
        <v>736</v>
      </c>
      <c r="H226" s="15" t="s">
        <v>43</v>
      </c>
      <c r="I226" s="20" t="s">
        <v>43</v>
      </c>
      <c r="J226" s="2" t="str">
        <f t="shared" si="0"/>
        <v>N</v>
      </c>
    </row>
    <row r="227" spans="1:22" ht="13">
      <c r="A227" s="11" t="s">
        <v>737</v>
      </c>
      <c r="B227" s="12" t="s">
        <v>738</v>
      </c>
      <c r="C227" s="12" t="s">
        <v>117</v>
      </c>
      <c r="D227" s="12">
        <v>2020</v>
      </c>
      <c r="E227" s="12">
        <v>2020</v>
      </c>
      <c r="F227" s="12" t="s">
        <v>590</v>
      </c>
      <c r="H227" s="15" t="s">
        <v>43</v>
      </c>
      <c r="I227" s="20" t="s">
        <v>43</v>
      </c>
      <c r="J227" s="2" t="str">
        <f t="shared" si="0"/>
        <v>N</v>
      </c>
    </row>
    <row r="228" spans="1:22" ht="13">
      <c r="A228" s="11" t="s">
        <v>739</v>
      </c>
      <c r="B228" s="12" t="s">
        <v>740</v>
      </c>
      <c r="C228" s="12" t="s">
        <v>253</v>
      </c>
      <c r="D228" s="12">
        <v>2003</v>
      </c>
      <c r="E228" s="12">
        <v>2003</v>
      </c>
      <c r="F228" s="19"/>
      <c r="H228" s="15" t="s">
        <v>119</v>
      </c>
      <c r="I228" s="20" t="s">
        <v>119</v>
      </c>
      <c r="J228" s="2" t="str">
        <f t="shared" si="0"/>
        <v>N</v>
      </c>
    </row>
    <row r="229" spans="1:22" ht="13">
      <c r="A229" s="11" t="s">
        <v>741</v>
      </c>
      <c r="B229" s="12" t="s">
        <v>742</v>
      </c>
      <c r="C229" s="12" t="s">
        <v>40</v>
      </c>
      <c r="D229" s="12">
        <v>2000</v>
      </c>
      <c r="E229" s="12">
        <v>2000</v>
      </c>
      <c r="F229" s="12" t="s">
        <v>743</v>
      </c>
      <c r="H229" s="15" t="s">
        <v>43</v>
      </c>
      <c r="I229" s="20" t="s">
        <v>43</v>
      </c>
      <c r="J229" s="2" t="str">
        <f t="shared" si="0"/>
        <v>N</v>
      </c>
    </row>
    <row r="230" spans="1:22" ht="13">
      <c r="A230" s="11" t="s">
        <v>744</v>
      </c>
      <c r="B230" s="12" t="s">
        <v>745</v>
      </c>
      <c r="C230" s="12" t="s">
        <v>56</v>
      </c>
      <c r="D230" s="12">
        <v>2024</v>
      </c>
      <c r="E230" s="12">
        <v>2024</v>
      </c>
      <c r="F230" s="12" t="s">
        <v>688</v>
      </c>
      <c r="H230" s="15" t="s">
        <v>43</v>
      </c>
      <c r="I230" s="20" t="s">
        <v>43</v>
      </c>
      <c r="J230" s="2" t="str">
        <f t="shared" si="0"/>
        <v>N</v>
      </c>
    </row>
    <row r="231" spans="1:22" ht="13">
      <c r="A231" s="11" t="s">
        <v>746</v>
      </c>
      <c r="B231" s="12" t="s">
        <v>747</v>
      </c>
      <c r="C231" s="12" t="s">
        <v>56</v>
      </c>
      <c r="D231" s="12">
        <v>2010</v>
      </c>
      <c r="E231" s="12">
        <v>2010</v>
      </c>
      <c r="F231" s="12" t="s">
        <v>748</v>
      </c>
      <c r="H231" s="15" t="s">
        <v>61</v>
      </c>
      <c r="I231" s="20" t="s">
        <v>61</v>
      </c>
      <c r="J231" s="2" t="str">
        <f t="shared" si="0"/>
        <v>N</v>
      </c>
    </row>
    <row r="232" spans="1:22" ht="13">
      <c r="A232" s="11" t="s">
        <v>749</v>
      </c>
      <c r="B232" s="12" t="s">
        <v>750</v>
      </c>
      <c r="C232" s="12" t="s">
        <v>56</v>
      </c>
      <c r="D232" s="12">
        <v>2018</v>
      </c>
      <c r="E232" s="12">
        <v>2018</v>
      </c>
      <c r="F232" s="12" t="s">
        <v>751</v>
      </c>
      <c r="G232" s="2" t="s">
        <v>47</v>
      </c>
      <c r="H232" s="15" t="s">
        <v>47</v>
      </c>
      <c r="I232" s="20" t="s">
        <v>43</v>
      </c>
      <c r="J232" s="2" t="str">
        <f t="shared" si="0"/>
        <v>Y</v>
      </c>
      <c r="L232" s="2" t="s">
        <v>43</v>
      </c>
      <c r="M232" s="15" t="s">
        <v>47</v>
      </c>
      <c r="N232" s="22" t="s">
        <v>43</v>
      </c>
      <c r="O232" s="2" t="str">
        <f>IF(COUNTIF(L232:N232, "Y")&gt;=2,"Y","N")</f>
        <v>N</v>
      </c>
      <c r="Q232" s="2"/>
      <c r="R232" s="2"/>
      <c r="S232" s="2"/>
      <c r="T232" s="2">
        <v>1</v>
      </c>
      <c r="U232" s="2" t="s">
        <v>214</v>
      </c>
      <c r="V232" s="2" t="s">
        <v>752</v>
      </c>
    </row>
    <row r="233" spans="1:22" ht="13">
      <c r="A233" s="11" t="s">
        <v>753</v>
      </c>
      <c r="B233" s="12" t="s">
        <v>754</v>
      </c>
      <c r="C233" s="12" t="s">
        <v>56</v>
      </c>
      <c r="D233" s="12">
        <v>2025</v>
      </c>
      <c r="E233" s="12">
        <v>2025</v>
      </c>
      <c r="F233" s="12" t="s">
        <v>531</v>
      </c>
      <c r="H233" s="15" t="s">
        <v>61</v>
      </c>
      <c r="I233" s="20" t="s">
        <v>61</v>
      </c>
      <c r="J233" s="2" t="str">
        <f t="shared" si="0"/>
        <v>N</v>
      </c>
    </row>
    <row r="234" spans="1:22" ht="13">
      <c r="A234" s="11" t="s">
        <v>755</v>
      </c>
      <c r="B234" s="12" t="s">
        <v>756</v>
      </c>
      <c r="C234" s="12" t="s">
        <v>56</v>
      </c>
      <c r="D234" s="12">
        <v>2002</v>
      </c>
      <c r="E234" s="12">
        <v>2002</v>
      </c>
      <c r="F234" s="12" t="s">
        <v>757</v>
      </c>
      <c r="H234" s="15" t="s">
        <v>43</v>
      </c>
      <c r="I234" s="20" t="s">
        <v>43</v>
      </c>
      <c r="J234" s="2" t="str">
        <f t="shared" si="0"/>
        <v>N</v>
      </c>
    </row>
    <row r="235" spans="1:22" ht="13">
      <c r="A235" s="11" t="s">
        <v>758</v>
      </c>
      <c r="B235" s="12" t="s">
        <v>759</v>
      </c>
      <c r="C235" s="12" t="s">
        <v>56</v>
      </c>
      <c r="D235" s="12">
        <v>2004</v>
      </c>
      <c r="E235" s="12">
        <v>2004</v>
      </c>
      <c r="F235" s="12" t="s">
        <v>760</v>
      </c>
      <c r="H235" s="15" t="s">
        <v>119</v>
      </c>
      <c r="I235" s="20" t="s">
        <v>42</v>
      </c>
      <c r="J235" s="2" t="str">
        <f t="shared" si="0"/>
        <v>N</v>
      </c>
    </row>
    <row r="236" spans="1:22" ht="13">
      <c r="A236" s="11" t="s">
        <v>761</v>
      </c>
      <c r="B236" s="12" t="s">
        <v>762</v>
      </c>
      <c r="C236" s="12" t="s">
        <v>56</v>
      </c>
      <c r="D236" s="12">
        <v>2016</v>
      </c>
      <c r="E236" s="13">
        <v>42508</v>
      </c>
      <c r="F236" s="12" t="s">
        <v>763</v>
      </c>
      <c r="G236" s="2" t="s">
        <v>47</v>
      </c>
      <c r="H236" s="15" t="s">
        <v>42</v>
      </c>
      <c r="I236" s="20" t="s">
        <v>47</v>
      </c>
      <c r="J236" s="2" t="str">
        <f t="shared" si="0"/>
        <v>Y</v>
      </c>
      <c r="M236" s="15" t="s">
        <v>43</v>
      </c>
      <c r="N236" s="22" t="s">
        <v>43</v>
      </c>
      <c r="O236" s="2" t="str">
        <f>IF(COUNTIF(L236:N236, "Y")&gt;=2,"Y","N")</f>
        <v>N</v>
      </c>
    </row>
    <row r="237" spans="1:22" ht="13">
      <c r="A237" s="11" t="s">
        <v>764</v>
      </c>
      <c r="B237" s="12" t="s">
        <v>765</v>
      </c>
      <c r="C237" s="12" t="s">
        <v>56</v>
      </c>
      <c r="D237" s="12">
        <v>2019</v>
      </c>
      <c r="E237" s="12">
        <v>2019</v>
      </c>
      <c r="F237" s="12" t="s">
        <v>688</v>
      </c>
      <c r="H237" s="15" t="s">
        <v>42</v>
      </c>
      <c r="I237" s="20" t="s">
        <v>43</v>
      </c>
      <c r="J237" s="2" t="str">
        <f t="shared" si="0"/>
        <v>N</v>
      </c>
    </row>
    <row r="238" spans="1:22" ht="13">
      <c r="A238" s="11" t="s">
        <v>766</v>
      </c>
      <c r="B238" s="12" t="s">
        <v>767</v>
      </c>
      <c r="C238" s="12" t="s">
        <v>56</v>
      </c>
      <c r="D238" s="12">
        <v>2019</v>
      </c>
      <c r="E238" s="12">
        <v>2019</v>
      </c>
      <c r="F238" s="12" t="s">
        <v>4</v>
      </c>
      <c r="H238" s="15" t="s">
        <v>43</v>
      </c>
      <c r="I238" s="20" t="s">
        <v>43</v>
      </c>
      <c r="J238" s="2" t="str">
        <f t="shared" si="0"/>
        <v>N</v>
      </c>
    </row>
    <row r="239" spans="1:22" ht="13">
      <c r="A239" s="11" t="s">
        <v>768</v>
      </c>
      <c r="B239" s="12" t="s">
        <v>533</v>
      </c>
      <c r="C239" s="12" t="s">
        <v>117</v>
      </c>
      <c r="D239" s="12">
        <v>2020</v>
      </c>
      <c r="E239" s="12">
        <v>2020</v>
      </c>
      <c r="F239" s="12" t="s">
        <v>769</v>
      </c>
      <c r="H239" s="15" t="s">
        <v>47</v>
      </c>
      <c r="I239" s="20" t="s">
        <v>47</v>
      </c>
      <c r="J239" s="2" t="str">
        <f t="shared" si="0"/>
        <v>Y</v>
      </c>
      <c r="M239" s="15" t="s">
        <v>43</v>
      </c>
      <c r="N239" s="22" t="s">
        <v>43</v>
      </c>
      <c r="O239" s="2" t="str">
        <f>IF(COUNTIF(L239:N239, "Y")&gt;=2,"Y","N")</f>
        <v>N</v>
      </c>
    </row>
    <row r="240" spans="1:22" ht="13">
      <c r="A240" s="11" t="s">
        <v>770</v>
      </c>
      <c r="B240" s="12" t="s">
        <v>771</v>
      </c>
      <c r="C240" s="12" t="s">
        <v>56</v>
      </c>
      <c r="D240" s="12">
        <v>2020</v>
      </c>
      <c r="E240" s="12">
        <v>2020</v>
      </c>
      <c r="F240" s="12" t="s">
        <v>772</v>
      </c>
      <c r="H240" s="15" t="s">
        <v>43</v>
      </c>
      <c r="I240" s="20" t="s">
        <v>43</v>
      </c>
      <c r="J240" s="2" t="str">
        <f t="shared" si="0"/>
        <v>N</v>
      </c>
    </row>
    <row r="241" spans="1:24" ht="13">
      <c r="A241" s="11" t="s">
        <v>773</v>
      </c>
      <c r="B241" s="12" t="s">
        <v>774</v>
      </c>
      <c r="C241" s="12" t="s">
        <v>56</v>
      </c>
      <c r="D241" s="12">
        <v>2020</v>
      </c>
      <c r="E241" s="18">
        <v>43831</v>
      </c>
      <c r="F241" s="12" t="s">
        <v>653</v>
      </c>
      <c r="H241" s="15" t="s">
        <v>47</v>
      </c>
      <c r="I241" s="20" t="s">
        <v>47</v>
      </c>
      <c r="J241" s="2" t="str">
        <f t="shared" si="0"/>
        <v>Y</v>
      </c>
      <c r="L241" s="2" t="s">
        <v>47</v>
      </c>
      <c r="M241" s="15" t="s">
        <v>43</v>
      </c>
      <c r="N241" s="22" t="s">
        <v>47</v>
      </c>
      <c r="O241" s="2" t="str">
        <f>IF(COUNTIF(L241:N241, "Y")&gt;=2,"Y","N")</f>
        <v>Y</v>
      </c>
      <c r="P241" s="4" t="s">
        <v>775</v>
      </c>
      <c r="Q241" s="2" t="s">
        <v>540</v>
      </c>
      <c r="R241" s="2" t="s">
        <v>776</v>
      </c>
      <c r="S241" s="2" t="s">
        <v>540</v>
      </c>
      <c r="T241" s="2">
        <v>4</v>
      </c>
      <c r="U241" s="16" t="s">
        <v>777</v>
      </c>
      <c r="V241" s="2" t="s">
        <v>778</v>
      </c>
      <c r="X241" s="2" t="s">
        <v>101</v>
      </c>
    </row>
    <row r="242" spans="1:24" ht="13">
      <c r="A242" s="11" t="s">
        <v>779</v>
      </c>
      <c r="B242" s="12" t="s">
        <v>780</v>
      </c>
      <c r="C242" s="12" t="s">
        <v>253</v>
      </c>
      <c r="D242" s="12">
        <v>2015</v>
      </c>
      <c r="E242" s="12">
        <v>2015</v>
      </c>
      <c r="F242" s="19"/>
      <c r="H242" s="15" t="s">
        <v>119</v>
      </c>
      <c r="I242" s="20" t="s">
        <v>119</v>
      </c>
      <c r="J242" s="2" t="str">
        <f t="shared" si="0"/>
        <v>N</v>
      </c>
    </row>
    <row r="243" spans="1:24" ht="13">
      <c r="A243" s="11" t="s">
        <v>781</v>
      </c>
      <c r="B243" s="12" t="s">
        <v>782</v>
      </c>
      <c r="C243" s="12" t="s">
        <v>56</v>
      </c>
      <c r="D243" s="12">
        <v>2008</v>
      </c>
      <c r="E243" s="12">
        <v>2008</v>
      </c>
      <c r="F243" s="12" t="s">
        <v>783</v>
      </c>
      <c r="H243" s="15" t="s">
        <v>43</v>
      </c>
      <c r="I243" s="20" t="s">
        <v>43</v>
      </c>
      <c r="J243" s="2" t="str">
        <f t="shared" si="0"/>
        <v>N</v>
      </c>
    </row>
    <row r="244" spans="1:24" ht="12.5">
      <c r="A244" s="26" t="s">
        <v>16</v>
      </c>
      <c r="B244" s="2" t="s">
        <v>784</v>
      </c>
      <c r="C244" s="12" t="s">
        <v>56</v>
      </c>
      <c r="D244" s="2">
        <v>2025</v>
      </c>
      <c r="F244" s="2" t="s">
        <v>14</v>
      </c>
      <c r="J244" s="2" t="s">
        <v>47</v>
      </c>
      <c r="O244" s="2" t="s">
        <v>47</v>
      </c>
      <c r="P244" s="4" t="s">
        <v>17</v>
      </c>
      <c r="Q244" s="2" t="s">
        <v>576</v>
      </c>
      <c r="R244" s="2" t="s">
        <v>79</v>
      </c>
      <c r="S244" s="2" t="s">
        <v>68</v>
      </c>
      <c r="T244" s="2">
        <v>1</v>
      </c>
      <c r="U244" s="16" t="s">
        <v>69</v>
      </c>
      <c r="V244" s="2" t="s">
        <v>785</v>
      </c>
    </row>
    <row r="245" spans="1:24" ht="12.5">
      <c r="A245" s="26" t="s">
        <v>18</v>
      </c>
      <c r="B245" s="2" t="s">
        <v>786</v>
      </c>
      <c r="C245" s="12" t="s">
        <v>40</v>
      </c>
      <c r="D245" s="2">
        <v>2024</v>
      </c>
      <c r="F245" s="2" t="s">
        <v>787</v>
      </c>
      <c r="J245" s="2" t="s">
        <v>47</v>
      </c>
      <c r="O245" s="2" t="s">
        <v>47</v>
      </c>
      <c r="P245" s="5" t="s">
        <v>788</v>
      </c>
      <c r="Q245" s="2" t="s">
        <v>66</v>
      </c>
      <c r="R245" s="2" t="s">
        <v>79</v>
      </c>
      <c r="S245" s="2" t="s">
        <v>68</v>
      </c>
      <c r="T245" s="2">
        <v>2</v>
      </c>
      <c r="U245" s="16" t="s">
        <v>69</v>
      </c>
      <c r="V245" s="2" t="s">
        <v>789</v>
      </c>
    </row>
    <row r="246" spans="1:24" ht="26.25" customHeight="1">
      <c r="A246" s="26" t="s">
        <v>6</v>
      </c>
      <c r="B246" s="3" t="s">
        <v>7</v>
      </c>
      <c r="C246" s="12" t="s">
        <v>40</v>
      </c>
      <c r="D246" s="2">
        <v>2025</v>
      </c>
      <c r="F246" s="2" t="s">
        <v>787</v>
      </c>
      <c r="J246" s="2" t="s">
        <v>47</v>
      </c>
      <c r="O246" s="2" t="s">
        <v>47</v>
      </c>
      <c r="P246" s="4" t="s">
        <v>8</v>
      </c>
      <c r="Q246" s="2" t="s">
        <v>576</v>
      </c>
      <c r="R246" s="2" t="s">
        <v>79</v>
      </c>
      <c r="S246" s="2" t="s">
        <v>68</v>
      </c>
      <c r="T246" s="2">
        <v>2</v>
      </c>
      <c r="U246" s="16" t="s">
        <v>577</v>
      </c>
      <c r="V246" s="2" t="s">
        <v>790</v>
      </c>
    </row>
    <row r="247" spans="1:24" ht="12.5">
      <c r="A247" s="26" t="s">
        <v>791</v>
      </c>
      <c r="B247" s="2" t="s">
        <v>792</v>
      </c>
      <c r="C247" s="12" t="s">
        <v>40</v>
      </c>
      <c r="D247" s="2">
        <v>2024</v>
      </c>
      <c r="F247" s="2" t="s">
        <v>11</v>
      </c>
      <c r="J247" s="2" t="s">
        <v>47</v>
      </c>
      <c r="O247" s="2" t="s">
        <v>47</v>
      </c>
      <c r="P247" s="5" t="s">
        <v>793</v>
      </c>
      <c r="Q247" s="2" t="s">
        <v>576</v>
      </c>
      <c r="R247" s="2" t="s">
        <v>79</v>
      </c>
      <c r="S247" s="2" t="s">
        <v>68</v>
      </c>
      <c r="T247" s="2">
        <v>2</v>
      </c>
      <c r="U247" s="16" t="s">
        <v>69</v>
      </c>
      <c r="V247" s="2" t="s">
        <v>794</v>
      </c>
    </row>
    <row r="248" spans="1:24" ht="12.5">
      <c r="A248" s="27" t="s">
        <v>795</v>
      </c>
      <c r="B248" s="2" t="s">
        <v>796</v>
      </c>
      <c r="C248" s="2" t="s">
        <v>40</v>
      </c>
      <c r="D248" s="2">
        <v>2025</v>
      </c>
      <c r="F248" s="2" t="s">
        <v>2</v>
      </c>
      <c r="J248" s="2" t="s">
        <v>47</v>
      </c>
      <c r="O248" s="2" t="s">
        <v>47</v>
      </c>
      <c r="P248" s="5" t="s">
        <v>797</v>
      </c>
      <c r="Q248" s="2" t="s">
        <v>566</v>
      </c>
      <c r="R248" s="2" t="s">
        <v>798</v>
      </c>
      <c r="S248" s="2" t="s">
        <v>567</v>
      </c>
      <c r="T248" s="2">
        <v>6</v>
      </c>
      <c r="U248" s="2" t="s">
        <v>799</v>
      </c>
      <c r="V248" s="2" t="s">
        <v>800</v>
      </c>
    </row>
    <row r="249" spans="1:24" ht="12.5">
      <c r="A249" s="27" t="s">
        <v>801</v>
      </c>
      <c r="B249" s="2" t="s">
        <v>7</v>
      </c>
      <c r="C249" s="12" t="s">
        <v>40</v>
      </c>
      <c r="D249" s="2">
        <v>2025</v>
      </c>
      <c r="F249" s="2" t="s">
        <v>802</v>
      </c>
      <c r="J249" s="2" t="s">
        <v>47</v>
      </c>
      <c r="O249" s="2" t="s">
        <v>47</v>
      </c>
      <c r="P249" s="5" t="s">
        <v>803</v>
      </c>
      <c r="Q249" s="2" t="s">
        <v>66</v>
      </c>
      <c r="R249" s="2" t="s">
        <v>79</v>
      </c>
      <c r="S249" s="2" t="s">
        <v>68</v>
      </c>
      <c r="T249" s="2">
        <v>2</v>
      </c>
      <c r="U249" s="2" t="s">
        <v>69</v>
      </c>
      <c r="V249" s="2" t="s">
        <v>804</v>
      </c>
    </row>
    <row r="250" spans="1:24" ht="12.5">
      <c r="A250" s="27" t="s">
        <v>805</v>
      </c>
      <c r="B250" s="2" t="s">
        <v>806</v>
      </c>
      <c r="C250" s="2" t="s">
        <v>40</v>
      </c>
      <c r="D250" s="2">
        <v>2018</v>
      </c>
      <c r="F250" s="2" t="s">
        <v>478</v>
      </c>
      <c r="J250" s="2" t="s">
        <v>47</v>
      </c>
      <c r="O250" s="2" t="s">
        <v>47</v>
      </c>
      <c r="P250" s="4" t="s">
        <v>807</v>
      </c>
      <c r="Q250" s="2" t="s">
        <v>576</v>
      </c>
      <c r="R250" s="2" t="s">
        <v>808</v>
      </c>
      <c r="S250" s="2" t="s">
        <v>68</v>
      </c>
      <c r="T250" s="2">
        <v>1</v>
      </c>
      <c r="U250" s="2" t="s">
        <v>69</v>
      </c>
      <c r="V250" s="2" t="s">
        <v>809</v>
      </c>
    </row>
    <row r="251" spans="1:24" ht="12.5">
      <c r="A251" s="27" t="s">
        <v>810</v>
      </c>
      <c r="B251" s="2" t="s">
        <v>811</v>
      </c>
      <c r="C251" s="12" t="s">
        <v>40</v>
      </c>
      <c r="D251" s="2">
        <v>2025</v>
      </c>
      <c r="F251" s="2" t="s">
        <v>11</v>
      </c>
      <c r="J251" s="2" t="s">
        <v>47</v>
      </c>
      <c r="O251" s="2" t="s">
        <v>47</v>
      </c>
      <c r="P251" s="4" t="s">
        <v>812</v>
      </c>
      <c r="R251" s="2" t="s">
        <v>813</v>
      </c>
      <c r="S251" s="2" t="s">
        <v>567</v>
      </c>
      <c r="T251" s="2">
        <v>6</v>
      </c>
      <c r="U251" s="2" t="s">
        <v>777</v>
      </c>
      <c r="V251" s="2" t="s">
        <v>814</v>
      </c>
    </row>
    <row r="252" spans="1:24" ht="12.5">
      <c r="A252" s="27" t="s">
        <v>815</v>
      </c>
      <c r="B252" s="2" t="s">
        <v>816</v>
      </c>
      <c r="C252" s="12" t="s">
        <v>40</v>
      </c>
      <c r="D252" s="2">
        <v>2024</v>
      </c>
      <c r="F252" s="2" t="s">
        <v>787</v>
      </c>
      <c r="J252" s="2" t="s">
        <v>47</v>
      </c>
      <c r="O252" s="2" t="s">
        <v>47</v>
      </c>
      <c r="P252" s="4" t="s">
        <v>817</v>
      </c>
      <c r="Q252" s="2" t="s">
        <v>818</v>
      </c>
      <c r="R252" s="2" t="s">
        <v>819</v>
      </c>
      <c r="S252" s="2" t="s">
        <v>567</v>
      </c>
      <c r="T252" s="2">
        <v>4</v>
      </c>
      <c r="U252" s="2" t="s">
        <v>777</v>
      </c>
      <c r="V252" s="2" t="s">
        <v>820</v>
      </c>
    </row>
    <row r="253" spans="1:24" ht="12.5">
      <c r="A253" s="27" t="s">
        <v>821</v>
      </c>
      <c r="B253" s="2" t="s">
        <v>822</v>
      </c>
      <c r="C253" s="12" t="s">
        <v>40</v>
      </c>
      <c r="D253" s="2">
        <v>2023</v>
      </c>
      <c r="F253" s="2" t="s">
        <v>787</v>
      </c>
      <c r="J253" s="2" t="s">
        <v>47</v>
      </c>
      <c r="O253" s="2" t="s">
        <v>47</v>
      </c>
      <c r="P253" s="4" t="s">
        <v>823</v>
      </c>
      <c r="Q253" s="2" t="s">
        <v>576</v>
      </c>
      <c r="R253" s="2" t="s">
        <v>79</v>
      </c>
      <c r="S253" s="2" t="s">
        <v>68</v>
      </c>
      <c r="T253" s="2">
        <v>2</v>
      </c>
      <c r="U253" s="2" t="s">
        <v>69</v>
      </c>
      <c r="V253" s="2" t="s">
        <v>824</v>
      </c>
    </row>
    <row r="254" spans="1:24" ht="12.5">
      <c r="A254" s="27" t="s">
        <v>825</v>
      </c>
      <c r="B254" s="2" t="s">
        <v>826</v>
      </c>
      <c r="C254" s="12" t="s">
        <v>40</v>
      </c>
      <c r="D254" s="2">
        <v>2024</v>
      </c>
      <c r="F254" s="2" t="s">
        <v>787</v>
      </c>
      <c r="J254" s="2" t="s">
        <v>47</v>
      </c>
      <c r="O254" s="2" t="s">
        <v>47</v>
      </c>
      <c r="P254" s="4" t="s">
        <v>827</v>
      </c>
      <c r="Q254" s="2" t="s">
        <v>828</v>
      </c>
      <c r="R254" s="2" t="s">
        <v>829</v>
      </c>
      <c r="S254" s="2" t="s">
        <v>567</v>
      </c>
      <c r="T254" s="2">
        <v>4</v>
      </c>
      <c r="U254" s="2" t="s">
        <v>80</v>
      </c>
      <c r="V254" s="2" t="s">
        <v>830</v>
      </c>
      <c r="X254" s="2" t="s">
        <v>831</v>
      </c>
    </row>
    <row r="255" spans="1:24" ht="12.5">
      <c r="A255" s="28" t="s">
        <v>832</v>
      </c>
      <c r="B255" s="2" t="s">
        <v>833</v>
      </c>
      <c r="C255" s="2" t="s">
        <v>56</v>
      </c>
      <c r="D255" s="2">
        <v>2018</v>
      </c>
      <c r="F255" s="2" t="s">
        <v>834</v>
      </c>
      <c r="J255" s="2" t="s">
        <v>47</v>
      </c>
      <c r="O255" s="2" t="s">
        <v>47</v>
      </c>
      <c r="P255" s="4" t="s">
        <v>835</v>
      </c>
      <c r="Q255" s="2" t="s">
        <v>66</v>
      </c>
      <c r="R255" s="2" t="s">
        <v>836</v>
      </c>
      <c r="S255" s="2" t="s">
        <v>68</v>
      </c>
      <c r="T255" s="2">
        <v>1</v>
      </c>
      <c r="U255" s="2" t="s">
        <v>69</v>
      </c>
    </row>
    <row r="256" spans="1:24" ht="12.5">
      <c r="A256" s="28" t="s">
        <v>837</v>
      </c>
      <c r="B256" s="2" t="s">
        <v>838</v>
      </c>
      <c r="C256" s="2" t="s">
        <v>56</v>
      </c>
      <c r="D256" s="2">
        <v>2014</v>
      </c>
      <c r="F256" s="2" t="s">
        <v>839</v>
      </c>
      <c r="J256" s="2" t="s">
        <v>47</v>
      </c>
      <c r="O256" s="2" t="s">
        <v>47</v>
      </c>
      <c r="P256" s="4" t="s">
        <v>840</v>
      </c>
      <c r="Q256" s="2" t="s">
        <v>576</v>
      </c>
      <c r="R256" s="2" t="s">
        <v>79</v>
      </c>
      <c r="S256" s="2" t="s">
        <v>68</v>
      </c>
      <c r="T256" s="2">
        <v>2</v>
      </c>
      <c r="U256" s="2" t="s">
        <v>69</v>
      </c>
    </row>
    <row r="257" spans="1:22" ht="12.5">
      <c r="A257" s="28" t="s">
        <v>841</v>
      </c>
      <c r="B257" s="2" t="s">
        <v>842</v>
      </c>
      <c r="C257" s="2" t="s">
        <v>56</v>
      </c>
      <c r="D257" s="2">
        <v>2025</v>
      </c>
      <c r="F257" s="2" t="s">
        <v>14</v>
      </c>
      <c r="J257" s="2" t="s">
        <v>47</v>
      </c>
      <c r="O257" s="2" t="s">
        <v>47</v>
      </c>
      <c r="Q257" s="2" t="s">
        <v>576</v>
      </c>
      <c r="R257" s="2" t="s">
        <v>79</v>
      </c>
      <c r="S257" s="2" t="s">
        <v>68</v>
      </c>
      <c r="T257" s="2">
        <v>2</v>
      </c>
      <c r="U257" s="2" t="s">
        <v>69</v>
      </c>
      <c r="V257" s="2" t="s">
        <v>843</v>
      </c>
    </row>
    <row r="258" spans="1:22" ht="12.5">
      <c r="A258" s="28" t="s">
        <v>844</v>
      </c>
      <c r="B258" s="2" t="s">
        <v>845</v>
      </c>
      <c r="C258" s="2" t="s">
        <v>40</v>
      </c>
      <c r="D258" s="2">
        <v>2025</v>
      </c>
      <c r="F258" s="2" t="s">
        <v>11</v>
      </c>
      <c r="J258" s="2" t="s">
        <v>47</v>
      </c>
      <c r="O258" s="2" t="s">
        <v>47</v>
      </c>
      <c r="Q258" s="2" t="s">
        <v>576</v>
      </c>
      <c r="R258" s="2" t="s">
        <v>79</v>
      </c>
      <c r="S258" s="2" t="s">
        <v>68</v>
      </c>
      <c r="T258" s="2">
        <v>2</v>
      </c>
      <c r="U258" s="2" t="s">
        <v>69</v>
      </c>
      <c r="V258" s="2" t="s">
        <v>846</v>
      </c>
    </row>
  </sheetData>
  <autoFilter ref="A2:X258" xr:uid="{00000000-0009-0000-0000-000001000000}"/>
  <mergeCells count="2">
    <mergeCell ref="G1:J1"/>
    <mergeCell ref="L1:O1"/>
  </mergeCells>
  <hyperlinks>
    <hyperlink ref="P8" r:id="rId1" xr:uid="{00000000-0004-0000-0100-000000000000}"/>
    <hyperlink ref="P10" r:id="rId2" xr:uid="{00000000-0004-0000-0100-000001000000}"/>
    <hyperlink ref="P15" r:id="rId3" xr:uid="{00000000-0004-0000-0100-000002000000}"/>
    <hyperlink ref="P33" r:id="rId4" xr:uid="{00000000-0004-0000-0100-000003000000}"/>
    <hyperlink ref="P104" r:id="rId5" xr:uid="{00000000-0004-0000-0100-000004000000}"/>
    <hyperlink ref="P106" r:id="rId6" xr:uid="{00000000-0004-0000-0100-000005000000}"/>
    <hyperlink ref="P123" r:id="rId7" xr:uid="{00000000-0004-0000-0100-000006000000}"/>
    <hyperlink ref="P152" r:id="rId8" xr:uid="{00000000-0004-0000-0100-000007000000}"/>
    <hyperlink ref="P159" r:id="rId9" xr:uid="{00000000-0004-0000-0100-000008000000}"/>
    <hyperlink ref="P162" r:id="rId10" xr:uid="{00000000-0004-0000-0100-000009000000}"/>
    <hyperlink ref="P171" r:id="rId11" xr:uid="{00000000-0004-0000-0100-00000A000000}"/>
    <hyperlink ref="P173" r:id="rId12" xr:uid="{00000000-0004-0000-0100-00000B000000}"/>
    <hyperlink ref="P179" r:id="rId13" xr:uid="{00000000-0004-0000-0100-00000C000000}"/>
    <hyperlink ref="P202" r:id="rId14" xr:uid="{00000000-0004-0000-0100-00000D000000}"/>
    <hyperlink ref="P212" r:id="rId15" xr:uid="{00000000-0004-0000-0100-00000E000000}"/>
    <hyperlink ref="P215" r:id="rId16" xr:uid="{00000000-0004-0000-0100-00000F000000}"/>
    <hyperlink ref="P222" r:id="rId17" xr:uid="{00000000-0004-0000-0100-000010000000}"/>
    <hyperlink ref="P241" r:id="rId18" xr:uid="{00000000-0004-0000-0100-000011000000}"/>
    <hyperlink ref="P244" r:id="rId19" xr:uid="{00000000-0004-0000-0100-000012000000}"/>
    <hyperlink ref="P245" r:id="rId20" xr:uid="{00000000-0004-0000-0100-000013000000}"/>
    <hyperlink ref="P246" r:id="rId21" xr:uid="{00000000-0004-0000-0100-000014000000}"/>
    <hyperlink ref="P247" r:id="rId22" xr:uid="{00000000-0004-0000-0100-000015000000}"/>
    <hyperlink ref="P248" r:id="rId23" xr:uid="{00000000-0004-0000-0100-000016000000}"/>
    <hyperlink ref="P249" r:id="rId24" xr:uid="{00000000-0004-0000-0100-000017000000}"/>
    <hyperlink ref="P250" r:id="rId25" xr:uid="{00000000-0004-0000-0100-000018000000}"/>
    <hyperlink ref="P251" r:id="rId26" xr:uid="{00000000-0004-0000-0100-000019000000}"/>
    <hyperlink ref="P252" r:id="rId27" xr:uid="{00000000-0004-0000-0100-00001A000000}"/>
    <hyperlink ref="P253" r:id="rId28" xr:uid="{00000000-0004-0000-0100-00001B000000}"/>
    <hyperlink ref="P254" r:id="rId29" xr:uid="{00000000-0004-0000-0100-00001C000000}"/>
    <hyperlink ref="P255" r:id="rId30" xr:uid="{00000000-0004-0000-0100-00001D000000}"/>
    <hyperlink ref="P256" r:id="rId31" xr:uid="{00000000-0004-0000-0100-00001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Keyvan Amiri Elyasi</cp:lastModifiedBy>
  <dcterms:modified xsi:type="dcterms:W3CDTF">2026-03-19T07:50:28Z</dcterms:modified>
</cp:coreProperties>
</file>